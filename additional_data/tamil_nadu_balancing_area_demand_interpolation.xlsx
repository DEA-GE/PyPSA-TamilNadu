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2609bbdd5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8a71d35e46d45b3"/>
    <x:sheet xmlns:r="http://schemas.openxmlformats.org/officeDocument/2006/relationships" name="Interpolation" sheetId="2" r:id="Rac09c0e2748f4277"/>
    <x:sheet xmlns:r="http://schemas.openxmlformats.org/officeDocument/2006/relationships" name="FY2025-26 Calibration" sheetId="3" r:id="Rd3726b799977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#,##0"/>
    <x:numFmt numFmtId="202" formatCode="0.000"/>
    <x:numFmt numFmtId="203" formatCode="0.0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C2D12"/>
      <x:name val="Carlito"/>
    </x:font>
    <x:font>
      <x:b/>
      <x:sz val="10"/>
      <x:color rgb="FFFFFFFF"/>
      <x:name val="Carlito"/>
    </x:font>
    <x:font>
      <x:b/>
      <x:sz val="11"/>
      <x:color rgb="FF123B4A"/>
      <x:name val="Carlito"/>
    </x:font>
    <x:font>
      <x:b/>
      <x:sz val="12"/>
      <x:color rgb="FF123B4A"/>
      <x:name val="Carlito"/>
    </x:font>
    <x:font>
      <x:b/>
      <x:sz val="13"/>
      <x:color rgb="FF123B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FF7ED"/>
      </x:patternFill>
    </x:fill>
    <x:fill>
      <x:patternFill patternType="solid">
        <x:fgColor rgb="FF176B78"/>
      </x:patternFill>
    </x:fill>
    <x:fill>
      <x:patternFill patternType="solid">
        <x:fgColor rgb="FFDDEBF7"/>
      </x:patternFill>
    </x:fill>
    <x:fill>
      <x:patternFill patternType="solid">
        <x:fgColor rgb="FFF5F8F9"/>
      </x:patternFill>
    </x:fill>
    <x:fill>
      <x:patternFill patternType="solid">
        <x:fgColor rgb="FFDCEAF0"/>
      </x:patternFill>
    </x:fill>
    <x:fill>
      <x:patternFill patternType="solid">
        <x:fgColor rgb="FFE8F1F4"/>
      </x:patternFill>
    </x:fill>
    <x:fill>
      <x:patternFill patternType="solid">
        <x:fgColor rgb="FF176B78"/>
      </x:patternFill>
    </x:fill>
    <x:fill>
      <x:patternFill patternType="solid">
        <x:fgColor rgb="FFE8F1F4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2" fontId="0" fillId="6" borderId="0" xfId="0" applyNumberFormat="1" applyFont="1" applyFill="1" applyBorder="1"/>
    <x:xf numFmtId="202" fontId="0" fillId="6" borderId="4" xfId="0" applyNumberFormat="1" applyFont="1" applyFill="1" applyBorder="1"/>
    <x:xf numFmtId="202" fontId="0" fillId="6" borderId="1" xfId="0" applyNumberFormat="1" applyFont="1" applyFill="1" applyBorder="1"/>
    <x:xf numFmtId="202" fontId="0" fillId="6" borderId="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200" fontId="6" fillId="8" borderId="0" xfId="0" applyNumberFormat="1" applyFont="1" applyFill="1" applyBorder="1" applyAlignment="1">
      <x:alignment horizontal="center" vertical="center"/>
    </x:xf>
    <x:xf numFmtId="200" fontId="6" fillId="8" borderId="1" xfId="0" applyNumberFormat="1" applyFont="1" applyFill="1" applyBorder="1" applyAlignment="1">
      <x:alignment horizontal="center" vertical="center"/>
    </x:xf>
    <x:xf numFmtId="202" fontId="6" fillId="8" borderId="0" xfId="0" applyNumberFormat="1" applyFont="1" applyFill="1" applyBorder="1" applyAlignment="1">
      <x:alignment horizontal="center" vertical="center"/>
    </x:xf>
    <x:xf numFmtId="202" fontId="6" fillId="8" borderId="1" xfId="0" applyNumberFormat="1" applyFont="1" applyFill="1" applyBorder="1" applyAlignment="1">
      <x:alignment horizontal="center" vertical="center"/>
    </x:xf>
    <x:xf numFmtId="203" fontId="6" fillId="8" borderId="0" xfId="0" applyNumberFormat="1" applyFont="1" applyFill="1" applyBorder="1" applyAlignment="1">
      <x:alignment horizontal="center" vertical="center"/>
    </x:xf>
    <x:xf numFmtId="203" fontId="6" fillId="8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0" fillId="0" borderId="0" xfId="0" applyNumberFormat="1" applyFont="1" applyFill="1" applyBorder="1"/>
    <x:xf numFmtId="203" fontId="4" fillId="5" borderId="0" xfId="0" applyNumberFormat="1" applyFont="1" applyFill="1" applyBorder="1"/>
    <x:xf numFmtId="203" fontId="0" fillId="0" borderId="1" xfId="0" applyNumberFormat="1" applyFont="1" applyFill="1" applyBorder="1"/>
    <x:xf numFmtId="203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4" xfId="0" applyNumberFormat="1" applyFont="1" applyFill="1" applyBorder="1"/>
    <x:xf numFmtId="203" fontId="4" fillId="5" borderId="4" xfId="0" applyNumberFormat="1" applyFont="1" applyFill="1" applyBorder="1"/>
    <x:xf numFmtId="201" fontId="4" fillId="5" borderId="4" xfId="0" applyNumberFormat="1" applyFont="1" applyFill="1" applyBorder="1"/>
    <x:xf numFmtId="202" fontId="4" fillId="5" borderId="5" xfId="0" applyNumberFormat="1" applyFont="1" applyFill="1" applyBorder="1"/>
    <x:xf numFmtId="203" fontId="4" fillId="5" borderId="5" xfId="0" applyNumberFormat="1" applyFont="1" applyFill="1" applyBorder="1"/>
    <x:xf numFmtId="201" fontId="4" fillId="5" borderId="5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200" fontId="6" fillId="10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202" fontId="6" fillId="10" borderId="0" xfId="0" applyNumberFormat="1" applyFont="1" applyFill="1" applyBorder="1" applyAlignment="1">
      <x:alignment horizontal="center" vertical="center"/>
    </x:xf>
    <x:xf numFmtId="203" fontId="6" fillId="1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ee55c85f0474b" /><Relationship Type="http://schemas.openxmlformats.org/officeDocument/2006/relationships/theme" Target="/xl/theme/theme1.xml" Id="Rd6754face7b343f9" /><Relationship Type="http://schemas.openxmlformats.org/officeDocument/2006/relationships/sharedStrings" Target="/xl/sharedStrings.xml" Id="Rbf84a63d2d184315" /><Relationship Type="http://schemas.openxmlformats.org/officeDocument/2006/relationships/worksheet" Target="/xl/worksheets/sheet1.xml" Id="Re8a71d35e46d45b3" /><Relationship Type="http://schemas.openxmlformats.org/officeDocument/2006/relationships/worksheet" Target="/xl/worksheets/sheet2.xml" Id="Rac09c0e2748f4277" /><Relationship Type="http://schemas.openxmlformats.org/officeDocument/2006/relationships/worksheet" Target="/xl/worksheets/sheet3.xml" Id="Rd3726b7999774c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ee0e49a30b46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Interpolated vs scaled FY2025-26 energy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Interpolated at 2025.5</c:v>
          </c:tx>
          <c:cat>
            <c:strLit>
              <c:ptCount val="9"/>
              <c:pt idx="0">
                <c:v>Chennai North</c:v>
              </c:pt>
              <c:pt idx="1">
                <c:v>Chennai South</c:v>
              </c:pt>
              <c:pt idx="2">
                <c:v>Coimbatore</c:v>
              </c:pt>
              <c:pt idx="3">
                <c:v>Erode</c:v>
              </c:pt>
              <c:pt idx="4">
                <c:v>Madurai</c:v>
              </c:pt>
              <c:pt idx="5">
                <c:v>Tirunelveli</c:v>
              </c:pt>
              <c:pt idx="6">
                <c:v>Trichy</c:v>
              </c:pt>
              <c:pt idx="7">
                <c:v>Vellore</c:v>
              </c:pt>
              <c:pt idx="8">
                <c:v>Villupuram</c:v>
              </c:pt>
            </c:strLit>
          </c:cat>
          <c:val>
            <c:numLit>
              <c:formatCode>General</c:formatCode>
              <c:ptCount val="9"/>
              <c:pt idx="0">
                <c:v>14.15</c:v>
              </c:pt>
              <c:pt idx="1">
                <c:v>17.71</c:v>
              </c:pt>
              <c:pt idx="2">
                <c:v>25.62</c:v>
              </c:pt>
              <c:pt idx="3">
                <c:v>21.745</c:v>
              </c:pt>
              <c:pt idx="4">
                <c:v>16.365</c:v>
              </c:pt>
              <c:pt idx="5">
                <c:v>13.96</c:v>
              </c:pt>
              <c:pt idx="6">
                <c:v>20.205</c:v>
              </c:pt>
              <c:pt idx="7">
                <c:v>20.22</c:v>
              </c:pt>
              <c:pt idx="8">
                <c:v>17.01</c:v>
              </c:pt>
            </c:numLit>
          </c:val>
        </c:ser>
        <c:ser>
          <c:idx val="1"/>
          <c:order val="1"/>
          <c:tx>
            <c:v>Scaled to TNEB FY2025-26 total</c:v>
          </c:tx>
          <c:cat>
            <c:strLit>
              <c:ptCount val="9"/>
              <c:pt idx="0">
                <c:v>Chennai North</c:v>
              </c:pt>
              <c:pt idx="1">
                <c:v>Chennai South</c:v>
              </c:pt>
              <c:pt idx="2">
                <c:v>Coimbatore</c:v>
              </c:pt>
              <c:pt idx="3">
                <c:v>Erode</c:v>
              </c:pt>
              <c:pt idx="4">
                <c:v>Madurai</c:v>
              </c:pt>
              <c:pt idx="5">
                <c:v>Tirunelveli</c:v>
              </c:pt>
              <c:pt idx="6">
                <c:v>Trichy</c:v>
              </c:pt>
              <c:pt idx="7">
                <c:v>Vellore</c:v>
              </c:pt>
              <c:pt idx="8">
                <c:v>Villupuram</c:v>
              </c:pt>
            </c:strLit>
          </c:cat>
          <c:val>
            <c:numLit>
              <c:formatCode>General</c:formatCode>
              <c:ptCount val="9"/>
              <c:pt idx="0">
                <c:v>12.6313228733</c:v>
              </c:pt>
              <c:pt idx="1">
                <c:v>15.809238734</c:v>
              </c:pt>
              <c:pt idx="2">
                <c:v>22.8702821211</c:v>
              </c:pt>
              <c:pt idx="3">
                <c:v>19.4111742671</c:v>
              </c:pt>
              <c:pt idx="4">
                <c:v>14.6085935563</c:v>
              </c:pt>
              <c:pt idx="5">
                <c:v>12.4617150043</c:v>
              </c:pt>
              <c:pt idx="6">
                <c:v>18.0364578555</c:v>
              </c:pt>
              <c:pt idx="7">
                <c:v>18.0498479504</c:v>
              </c:pt>
              <c:pt idx="8">
                <c:v>15.1843676378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7</xdr:row>
      <xdr:rowOff>0</xdr:rowOff>
    </xdr:from>
    <xdr:ext cx="619125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ee0e49a30b468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555377e271845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31" hidden="0" customWidth="1"/>
    <x:col min="11" max="11" width="48" hidden="0" customWidth="1"/>
  </x:cols>
  <x:sheetData>
    <x:row r="1" ht="30" customHeight="1">
      <x:c r="A1" s="5" t="str">
        <x:v>Tamil Nadu balancing-area demand inputs</x:v>
      </x:c>
      <x:c r="B1" s="5"/>
      <x:c r="C1" s="5"/>
      <x:c r="D1" s="5"/>
      <x:c r="E1" s="5"/>
      <x:c r="F1" s="5"/>
      <x:c r="G1" s="5"/>
      <x:c r="H1" s="5"/>
      <x:c r="J1" s="5" t="str">
        <x:v>FY2025-26 calibration inputs</x:v>
      </x:c>
      <x:c r="K1" s="5"/>
      <x:c r="L1" s="5"/>
      <x:c r="M1" s="5"/>
    </x:row>
    <x:row r="2" ht="34" customHeight="1">
      <x:c r="A2" s="13" t="str">
        <x:v>Table 2 endpoints are linearly interpolated. The FY2025-26 benchmark is the official TNEB projection, not realised metered consumption.</x:v>
      </x:c>
      <x:c r="B2" s="13"/>
      <x:c r="C2" s="13"/>
      <x:c r="D2" s="13"/>
      <x:c r="E2" s="13"/>
      <x:c r="F2" s="13"/>
      <x:c r="G2" s="13"/>
      <x:c r="H2" s="13"/>
    </x:row>
    <x:row r="3">
      <x:c r="J3" s="23" t="str">
        <x:v>Parameter</x:v>
      </x:c>
      <x:c r="K3" s="23" t="str">
        <x:v>Value</x:v>
      </x:c>
    </x:row>
    <x:row r="4">
      <x:c r="A4" s="23" t="str">
        <x:v>Balancing area</x:v>
      </x:c>
      <x:c r="B4" s="23" t="str">
        <x:v>Energy 2020 (TWh)</x:v>
      </x:c>
      <x:c r="C4" s="23" t="str">
        <x:v>Energy 2030 (TWh)</x:v>
      </x:c>
      <x:c r="D4" s="23" t="str">
        <x:v>Reported energy CAGR (%)</x:v>
      </x:c>
      <x:c r="E4" s="23" t="str">
        <x:v>Peak 2020 (GW)</x:v>
      </x:c>
      <x:c r="F4" s="23" t="str">
        <x:v>Peak 2030 (GW)</x:v>
      </x:c>
      <x:c r="G4" s="23" t="str">
        <x:v>Reported peak CAGR (%)</x:v>
      </x:c>
      <x:c r="H4" s="23" t="str">
        <x:v>Energy linear increment (TWh/year)</x:v>
      </x:c>
      <x:c r="J4" s="42" t="str">
        <x:v>Calibration midpoint year</x:v>
      </x:c>
      <x:c r="K4" s="34" t="n">
        <x:v>2025.5</x:v>
      </x:c>
    </x:row>
    <x:row r="5">
      <x:c r="A5" s="42" t="str">
        <x:v>Chennai North</x:v>
      </x:c>
      <x:c r="B5" s="34" t="n">
        <x:v>11.4</x:v>
      </x:c>
      <x:c r="C5" s="34" t="n">
        <x:v>16.4</x:v>
      </x:c>
      <x:c r="D5" s="34" t="n">
        <x:v>3.7</x:v>
      </x:c>
      <x:c r="E5" s="34" t="n">
        <x:v>1.7</x:v>
      </x:c>
      <x:c r="F5" s="34" t="n">
        <x:v>2.5</x:v>
      </x:c>
      <x:c r="G5" s="34" t="n">
        <x:v>4</x:v>
      </x:c>
      <x:c r="H5" s="34" t="n">
        <x:f>(C5-B5)/10</x:f>
        <x:v>0.49999999999999983</x:v>
      </x:c>
      <x:c r="J5" s="42" t="str">
        <x:v>Fiscal year label</x:v>
      </x:c>
      <x:c r="K5" s="42" t="str">
        <x:v>2025-26</x:v>
      </x:c>
    </x:row>
    <x:row r="6">
      <x:c r="A6" s="42" t="str">
        <x:v>Chennai South</x:v>
      </x:c>
      <x:c r="B6" s="34" t="n">
        <x:v>14.3</x:v>
      </x:c>
      <x:c r="C6" s="34" t="n">
        <x:v>20.5</x:v>
      </x:c>
      <x:c r="D6" s="34" t="n">
        <x:v>3.7</x:v>
      </x:c>
      <x:c r="E6" s="34" t="n">
        <x:v>2.1</x:v>
      </x:c>
      <x:c r="F6" s="34" t="n">
        <x:v>3.1</x:v>
      </x:c>
      <x:c r="G6" s="34" t="n">
        <x:v>4</x:v>
      </x:c>
      <x:c r="H6" s="34" t="n">
        <x:f>(C6-B6)/10</x:f>
        <x:v>0.6199999999999999</x:v>
      </x:c>
      <x:c r="J6" s="42" t="str">
        <x:v>TNEB energy requirement (MU)</x:v>
      </x:c>
      <x:c r="K6" s="38" t="n">
        <x:v>149063</x:v>
      </x:c>
    </x:row>
    <x:row r="7">
      <x:c r="A7" s="42" t="str">
        <x:v>Coimbatore</x:v>
      </x:c>
      <x:c r="B7" s="34" t="n">
        <x:v>18.8</x:v>
      </x:c>
      <x:c r="C7" s="34" t="n">
        <x:v>31.2</x:v>
      </x:c>
      <x:c r="D7" s="34" t="n">
        <x:v>5.2</x:v>
      </x:c>
      <x:c r="E7" s="34" t="n">
        <x:v>2.8</x:v>
      </x:c>
      <x:c r="F7" s="34" t="n">
        <x:v>4.8</x:v>
      </x:c>
      <x:c r="G7" s="34" t="n">
        <x:v>5.6</x:v>
      </x:c>
      <x:c r="H7" s="34" t="n">
        <x:f>(C7-B7)/10</x:f>
        <x:v>1.2399999999999998</x:v>
      </x:c>
      <x:c r="J7" s="42" t="str">
        <x:v>TNEB energy requirement (TWh)</x:v>
      </x:c>
      <x:c r="K7" s="40" t="n">
        <x:f>K6/1000</x:f>
        <x:v>149.063</x:v>
      </x:c>
    </x:row>
    <x:row r="8">
      <x:c r="A8" s="42" t="str">
        <x:v>Erode</x:v>
      </x:c>
      <x:c r="B8" s="34" t="n">
        <x:v>15.2</x:v>
      </x:c>
      <x:c r="C8" s="34" t="n">
        <x:v>27.1</x:v>
      </x:c>
      <x:c r="D8" s="34" t="n">
        <x:v>6</x:v>
      </x:c>
      <x:c r="E8" s="34" t="n">
        <x:v>2.2</x:v>
      </x:c>
      <x:c r="F8" s="34" t="n">
        <x:v>4.1</x:v>
      </x:c>
      <x:c r="G8" s="34" t="n">
        <x:v>6.3</x:v>
      </x:c>
      <x:c r="H8" s="34" t="n">
        <x:f>(C8-B8)/10</x:f>
        <x:v>1.1900000000000002</x:v>
      </x:c>
      <x:c r="J8" s="42" t="str">
        <x:v>TNEB peak demand (MW)</x:v>
      </x:c>
      <x:c r="K8" s="38" t="n">
        <x:v>21481</x:v>
      </x:c>
    </x:row>
    <x:row r="9">
      <x:c r="A9" s="42" t="str">
        <x:v>Madurai</x:v>
      </x:c>
      <x:c r="B9" s="34" t="n">
        <x:v>14</x:v>
      </x:c>
      <x:c r="C9" s="34" t="n">
        <x:v>18.3</x:v>
      </x:c>
      <x:c r="D9" s="34" t="n">
        <x:v>2.7</x:v>
      </x:c>
      <x:c r="E9" s="34" t="n">
        <x:v>2.1</x:v>
      </x:c>
      <x:c r="F9" s="34" t="n">
        <x:v>2.8</x:v>
      </x:c>
      <x:c r="G9" s="34" t="n">
        <x:v>3.1</x:v>
      </x:c>
      <x:c r="H9" s="34" t="n">
        <x:f>(C9-B9)/10</x:f>
        <x:v>0.43000000000000005</x:v>
      </x:c>
      <x:c r="J9" s="42" t="str">
        <x:v>TNEB peak demand (GW)</x:v>
      </x:c>
      <x:c r="K9" s="40" t="n">
        <x:f>K8/1000</x:f>
        <x:v>21.481</x:v>
      </x:c>
    </x:row>
    <x:row r="10">
      <x:c r="A10" s="42" t="str">
        <x:v>Tirunelveli</x:v>
      </x:c>
      <x:c r="B10" s="34" t="n">
        <x:v>10</x:v>
      </x:c>
      <x:c r="C10" s="34" t="n">
        <x:v>17.2</x:v>
      </x:c>
      <x:c r="D10" s="34" t="n">
        <x:v>5.5</x:v>
      </x:c>
      <x:c r="E10" s="34" t="n">
        <x:v>1.5</x:v>
      </x:c>
      <x:c r="F10" s="34" t="n">
        <x:v>2.6</x:v>
      </x:c>
      <x:c r="G10" s="34" t="n">
        <x:v>5.9</x:v>
      </x:c>
      <x:c r="H10" s="34" t="n">
        <x:f>(C10-B10)/10</x:f>
        <x:v>0.72</x:v>
      </x:c>
      <x:c r="J10" s="13" t="str">
        <x:v>Method</x:v>
      </x:c>
      <x:c r="K10" s="13" t="str">
        <x:v>Shares from linear interpolation at 2025.5; shares applied to official TNEB total.</x:v>
      </x:c>
    </x:row>
    <x:row r="11">
      <x:c r="A11" s="42" t="str">
        <x:v>Trichy</x:v>
      </x:c>
      <x:c r="B11" s="34" t="n">
        <x:v>14.1</x:v>
      </x:c>
      <x:c r="C11" s="34" t="n">
        <x:v>25.2</x:v>
      </x:c>
      <x:c r="D11" s="34" t="n">
        <x:v>6</x:v>
      </x:c>
      <x:c r="E11" s="34" t="n">
        <x:v>2.1</x:v>
      </x:c>
      <x:c r="F11" s="34" t="n">
        <x:v>3.8</x:v>
      </x:c>
      <x:c r="G11" s="34" t="n">
        <x:v>6.4</x:v>
      </x:c>
      <x:c r="H11" s="34" t="n">
        <x:f>(C11-B11)/10</x:f>
        <x:v>1.1099999999999999</x:v>
      </x:c>
      <x:c r="J11" s="42"/>
      <x:c r="K11" s="49"/>
    </x:row>
    <x:row r="12">
      <x:c r="A12" s="42" t="str">
        <x:v>Vellore</x:v>
      </x:c>
      <x:c r="B12" s="34" t="n">
        <x:v>13.4</x:v>
      </x:c>
      <x:c r="C12" s="34" t="n">
        <x:v>25.8</x:v>
      </x:c>
      <x:c r="D12" s="34" t="n">
        <x:v>6.8</x:v>
      </x:c>
      <x:c r="E12" s="34" t="n">
        <x:v>2</x:v>
      </x:c>
      <x:c r="F12" s="34" t="n">
        <x:v>3.9</x:v>
      </x:c>
      <x:c r="G12" s="34" t="n">
        <x:v>7.1</x:v>
      </x:c>
      <x:c r="H12" s="34" t="n">
        <x:f>(C12-B12)/10</x:f>
        <x:v>1.24</x:v>
      </x:c>
      <x:c r="J12" s="23" t="str">
        <x:v>Source</x:v>
      </x:c>
      <x:c r="K12" s="23" t="str">
        <x:v>URL</x:v>
      </x:c>
    </x:row>
    <x:row r="13">
      <x:c r="A13" s="42" t="str">
        <x:v>Villupuram</x:v>
      </x:c>
      <x:c r="B13" s="34" t="n">
        <x:v>12.5</x:v>
      </x:c>
      <x:c r="C13" s="34" t="n">
        <x:v>20.7</x:v>
      </x:c>
      <x:c r="D13" s="34" t="n">
        <x:v>5.2</x:v>
      </x:c>
      <x:c r="E13" s="34" t="n">
        <x:v>1.9</x:v>
      </x:c>
      <x:c r="F13" s="34" t="n">
        <x:v>3.2</x:v>
      </x:c>
      <x:c r="G13" s="34" t="n">
        <x:v>5.5</x:v>
      </x:c>
      <x:c r="H13" s="34" t="n">
        <x:f>(C13-B13)/10</x:f>
        <x:v>0.82</x:v>
      </x:c>
      <x:c r="J13" s="42" t="str">
        <x:v>Balancing-area 2020/2030 endpoints</x:v>
      </x:c>
      <x:c r="K13" s="49" t="str">
        <x:v>https://docs.nlr.gov/docs/fy21osti/78266.pdf</x:v>
      </x:c>
    </x:row>
    <x:row r="14">
      <x:c r="A14" s="43" t="str">
        <x:v>Tamil Nadu stated total</x:v>
      </x:c>
      <x:c r="B14" s="44" t="n">
        <x:v>123.7</x:v>
      </x:c>
      <x:c r="C14" s="44" t="n">
        <x:v>202.3</x:v>
      </x:c>
      <x:c r="D14" s="44" t="n">
        <x:v>5</x:v>
      </x:c>
      <x:c r="E14" s="44" t="n">
        <x:v>18.3</x:v>
      </x:c>
      <x:c r="F14" s="44" t="n">
        <x:v>30.8</x:v>
      </x:c>
      <x:c r="G14" s="44" t="n">
        <x:v>5.4</x:v>
      </x:c>
      <x:c r="H14" s="44" t="n">
        <x:f>(C14-B14)/10</x:f>
        <x:v>7.860000000000001</x:v>
      </x:c>
      <x:c r="J14" s="42" t="str">
        <x:v>TNEB FY2025-26 projection</x:v>
      </x:c>
      <x:c r="K14" s="49" t="str">
        <x:v>https://cea.nic.in/wp-content/uploads/resource_adequacy_st/2026/04/Tamil_Nadu_Resource_Adequacy_Report_2035_36_1.pdf</x:v>
      </x:c>
    </x:row>
    <x:row r="15">
      <x:c r="J15" s="47" t="str">
        <x:v>Important</x:v>
      </x:c>
      <x:c r="K15" s="47" t="str">
        <x:v>149,063 MU is a forecast energy requirement for FY2025-26, not an observed actual.</x:v>
      </x:c>
    </x:row>
  </x:sheetData>
  <x:mergeCells>
    <x:mergeCell ref="A1:H1"/>
    <x:mergeCell ref="A2:H2"/>
    <x:mergeCell ref="J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5" t="str">
        <x:v>Linear interpolation of annual electricity demand, 2020–2030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Formula: 2020 value + (year − 2020) / (2030 − 2020) × (2030 value − 2020 value).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3" t="str">
        <x:v>Year</x:v>
      </x:c>
      <x:c r="B4" s="23" t="str">
        <x:v>Chennai North</x:v>
      </x:c>
      <x:c r="C4" s="23" t="str">
        <x:v>Chennai South</x:v>
      </x:c>
      <x:c r="D4" s="23" t="str">
        <x:v>Coimbatore</x:v>
      </x:c>
      <x:c r="E4" s="23" t="str">
        <x:v>Erode</x:v>
      </x:c>
      <x:c r="F4" s="23" t="str">
        <x:v>Madurai</x:v>
      </x:c>
      <x:c r="G4" s="23" t="str">
        <x:v>Tirunelveli</x:v>
      </x:c>
      <x:c r="H4" s="23" t="str">
        <x:v>Trichy</x:v>
      </x:c>
      <x:c r="I4" s="23" t="str">
        <x:v>Vellore</x:v>
      </x:c>
      <x:c r="J4" s="23" t="str">
        <x:v>Villupuram</x:v>
      </x:c>
      <x:c r="K4" s="23" t="str">
        <x:v>BA sum (TWh)</x:v>
      </x:c>
      <x:c r="L4" s="23" t="str">
        <x:v>TN stated-line interpolation (TWh)</x:v>
      </x:c>
      <x:c r="M4" s="23" t="str">
        <x:v>Difference (TWh)</x:v>
      </x:c>
    </x:row>
    <x:row r="5">
      <x:c r="A5" s="42" t="n">
        <x:v>2020</x:v>
      </x:c>
      <x:c r="B5" s="40" t="n">
        <x:f>Inputs!$B$5+($A5-2020)/10*(Inputs!$C$5-Inputs!$B$5)</x:f>
        <x:v>11.4</x:v>
      </x:c>
      <x:c r="C5" s="40" t="n">
        <x:f>Inputs!$B$6+($A5-2020)/10*(Inputs!$C$6-Inputs!$B$6)</x:f>
        <x:v>14.3</x:v>
      </x:c>
      <x:c r="D5" s="40" t="n">
        <x:f>Inputs!$B$7+($A5-2020)/10*(Inputs!$C$7-Inputs!$B$7)</x:f>
        <x:v>18.8</x:v>
      </x:c>
      <x:c r="E5" s="40" t="n">
        <x:f>Inputs!$B$8+($A5-2020)/10*(Inputs!$C$8-Inputs!$B$8)</x:f>
        <x:v>15.2</x:v>
      </x:c>
      <x:c r="F5" s="40" t="n">
        <x:f>Inputs!$B$9+($A5-2020)/10*(Inputs!$C$9-Inputs!$B$9)</x:f>
        <x:v>14</x:v>
      </x:c>
      <x:c r="G5" s="40" t="n">
        <x:f>Inputs!$B$10+($A5-2020)/10*(Inputs!$C$10-Inputs!$B$10)</x:f>
        <x:v>10</x:v>
      </x:c>
      <x:c r="H5" s="40" t="n">
        <x:f>Inputs!$B$11+($A5-2020)/10*(Inputs!$C$11-Inputs!$B$11)</x:f>
        <x:v>14.1</x:v>
      </x:c>
      <x:c r="I5" s="40" t="n">
        <x:f>Inputs!$B$12+($A5-2020)/10*(Inputs!$C$12-Inputs!$B$12)</x:f>
        <x:v>13.4</x:v>
      </x:c>
      <x:c r="J5" s="40" t="n">
        <x:f>Inputs!$B$13+($A5-2020)/10*(Inputs!$C$13-Inputs!$B$13)</x:f>
        <x:v>12.5</x:v>
      </x:c>
      <x:c r="K5" s="55" t="n">
        <x:f>SUM(B5:J5)</x:f>
        <x:v>123.7</x:v>
      </x:c>
      <x:c r="L5" s="55" t="n">
        <x:f>Inputs!$B$14+($A5-2020)/10*(Inputs!$C$14-Inputs!$B$14)</x:f>
        <x:v>123.7</x:v>
      </x:c>
      <x:c r="M5" s="55" t="n">
        <x:f>K5-L5</x:f>
        <x:v>0</x:v>
      </x:c>
    </x:row>
    <x:row r="6">
      <x:c r="A6" s="42" t="n">
        <x:v>2021</x:v>
      </x:c>
      <x:c r="B6" s="40" t="n">
        <x:f>Inputs!$B$5+($A6-2020)/10*(Inputs!$C$5-Inputs!$B$5)</x:f>
        <x:v>11.9</x:v>
      </x:c>
      <x:c r="C6" s="40" t="n">
        <x:f>Inputs!$B$6+($A6-2020)/10*(Inputs!$C$6-Inputs!$B$6)</x:f>
        <x:v>14.92</x:v>
      </x:c>
      <x:c r="D6" s="40" t="n">
        <x:f>Inputs!$B$7+($A6-2020)/10*(Inputs!$C$7-Inputs!$B$7)</x:f>
        <x:v>20.04</x:v>
      </x:c>
      <x:c r="E6" s="40" t="n">
        <x:f>Inputs!$B$8+($A6-2020)/10*(Inputs!$C$8-Inputs!$B$8)</x:f>
        <x:v>16.39</x:v>
      </x:c>
      <x:c r="F6" s="40" t="n">
        <x:f>Inputs!$B$9+($A6-2020)/10*(Inputs!$C$9-Inputs!$B$9)</x:f>
        <x:v>14.43</x:v>
      </x:c>
      <x:c r="G6" s="40" t="n">
        <x:f>Inputs!$B$10+($A6-2020)/10*(Inputs!$C$10-Inputs!$B$10)</x:f>
        <x:v>10.72</x:v>
      </x:c>
      <x:c r="H6" s="40" t="n">
        <x:f>Inputs!$B$11+($A6-2020)/10*(Inputs!$C$11-Inputs!$B$11)</x:f>
        <x:v>15.209999999999999</x:v>
      </x:c>
      <x:c r="I6" s="40" t="n">
        <x:f>Inputs!$B$12+($A6-2020)/10*(Inputs!$C$12-Inputs!$B$12)</x:f>
        <x:v>14.64</x:v>
      </x:c>
      <x:c r="J6" s="40" t="n">
        <x:f>Inputs!$B$13+($A6-2020)/10*(Inputs!$C$13-Inputs!$B$13)</x:f>
        <x:v>13.32</x:v>
      </x:c>
      <x:c r="K6" s="55" t="n">
        <x:f>SUM(B6:J6)</x:f>
        <x:v>131.57</x:v>
      </x:c>
      <x:c r="L6" s="55" t="n">
        <x:f>Inputs!$B$14+($A6-2020)/10*(Inputs!$C$14-Inputs!$B$14)</x:f>
        <x:v>131.56</x:v>
      </x:c>
      <x:c r="M6" s="55" t="n">
        <x:f>K6-L6</x:f>
        <x:v>0.009999999999990905</x:v>
      </x:c>
    </x:row>
    <x:row r="7">
      <x:c r="A7" s="42" t="n">
        <x:v>2022</x:v>
      </x:c>
      <x:c r="B7" s="40" t="n">
        <x:f>Inputs!$B$5+($A7-2020)/10*(Inputs!$C$5-Inputs!$B$5)</x:f>
        <x:v>12.4</x:v>
      </x:c>
      <x:c r="C7" s="40" t="n">
        <x:f>Inputs!$B$6+($A7-2020)/10*(Inputs!$C$6-Inputs!$B$6)</x:f>
        <x:v>15.540000000000001</x:v>
      </x:c>
      <x:c r="D7" s="40" t="n">
        <x:f>Inputs!$B$7+($A7-2020)/10*(Inputs!$C$7-Inputs!$B$7)</x:f>
        <x:v>21.28</x:v>
      </x:c>
      <x:c r="E7" s="40" t="n">
        <x:f>Inputs!$B$8+($A7-2020)/10*(Inputs!$C$8-Inputs!$B$8)</x:f>
        <x:v>17.58</x:v>
      </x:c>
      <x:c r="F7" s="40" t="n">
        <x:f>Inputs!$B$9+($A7-2020)/10*(Inputs!$C$9-Inputs!$B$9)</x:f>
        <x:v>14.86</x:v>
      </x:c>
      <x:c r="G7" s="40" t="n">
        <x:f>Inputs!$B$10+($A7-2020)/10*(Inputs!$C$10-Inputs!$B$10)</x:f>
        <x:v>11.44</x:v>
      </x:c>
      <x:c r="H7" s="40" t="n">
        <x:f>Inputs!$B$11+($A7-2020)/10*(Inputs!$C$11-Inputs!$B$11)</x:f>
        <x:v>16.32</x:v>
      </x:c>
      <x:c r="I7" s="40" t="n">
        <x:f>Inputs!$B$12+($A7-2020)/10*(Inputs!$C$12-Inputs!$B$12)</x:f>
        <x:v>15.88</x:v>
      </x:c>
      <x:c r="J7" s="40" t="n">
        <x:f>Inputs!$B$13+($A7-2020)/10*(Inputs!$C$13-Inputs!$B$13)</x:f>
        <x:v>14.14</x:v>
      </x:c>
      <x:c r="K7" s="55" t="n">
        <x:f>SUM(B7:J7)</x:f>
        <x:v>139.44</x:v>
      </x:c>
      <x:c r="L7" s="55" t="n">
        <x:f>Inputs!$B$14+($A7-2020)/10*(Inputs!$C$14-Inputs!$B$14)</x:f>
        <x:v>139.42000000000002</x:v>
      </x:c>
      <x:c r="M7" s="55" t="n">
        <x:f>K7-L7</x:f>
        <x:v>0.01999999999998181</x:v>
      </x:c>
    </x:row>
    <x:row r="8">
      <x:c r="A8" s="42" t="n">
        <x:v>2023</x:v>
      </x:c>
      <x:c r="B8" s="40" t="n">
        <x:f>Inputs!$B$5+($A8-2020)/10*(Inputs!$C$5-Inputs!$B$5)</x:f>
        <x:v>12.9</x:v>
      </x:c>
      <x:c r="C8" s="40" t="n">
        <x:f>Inputs!$B$6+($A8-2020)/10*(Inputs!$C$6-Inputs!$B$6)</x:f>
        <x:v>16.16</x:v>
      </x:c>
      <x:c r="D8" s="40" t="n">
        <x:f>Inputs!$B$7+($A8-2020)/10*(Inputs!$C$7-Inputs!$B$7)</x:f>
        <x:v>22.52</x:v>
      </x:c>
      <x:c r="E8" s="40" t="n">
        <x:f>Inputs!$B$8+($A8-2020)/10*(Inputs!$C$8-Inputs!$B$8)</x:f>
        <x:v>18.77</x:v>
      </x:c>
      <x:c r="F8" s="40" t="n">
        <x:f>Inputs!$B$9+($A8-2020)/10*(Inputs!$C$9-Inputs!$B$9)</x:f>
        <x:v>15.290000000000001</x:v>
      </x:c>
      <x:c r="G8" s="40" t="n">
        <x:f>Inputs!$B$10+($A8-2020)/10*(Inputs!$C$10-Inputs!$B$10)</x:f>
        <x:v>12.16</x:v>
      </x:c>
      <x:c r="H8" s="40" t="n">
        <x:f>Inputs!$B$11+($A8-2020)/10*(Inputs!$C$11-Inputs!$B$11)</x:f>
        <x:v>17.43</x:v>
      </x:c>
      <x:c r="I8" s="40" t="n">
        <x:f>Inputs!$B$12+($A8-2020)/10*(Inputs!$C$12-Inputs!$B$12)</x:f>
        <x:v>17.12</x:v>
      </x:c>
      <x:c r="J8" s="40" t="n">
        <x:f>Inputs!$B$13+($A8-2020)/10*(Inputs!$C$13-Inputs!$B$13)</x:f>
        <x:v>14.959999999999999</x:v>
      </x:c>
      <x:c r="K8" s="55" t="n">
        <x:f>SUM(B8:J8)</x:f>
        <x:v>147.31</x:v>
      </x:c>
      <x:c r="L8" s="55" t="n">
        <x:f>Inputs!$B$14+($A8-2020)/10*(Inputs!$C$14-Inputs!$B$14)</x:f>
        <x:v>147.28</x:v>
      </x:c>
      <x:c r="M8" s="55" t="n">
        <x:f>K8-L8</x:f>
        <x:v>0.030000000000001137</x:v>
      </x:c>
    </x:row>
    <x:row r="9">
      <x:c r="A9" s="42" t="n">
        <x:v>2024</x:v>
      </x:c>
      <x:c r="B9" s="40" t="n">
        <x:f>Inputs!$B$5+($A9-2020)/10*(Inputs!$C$5-Inputs!$B$5)</x:f>
        <x:v>13.4</x:v>
      </x:c>
      <x:c r="C9" s="40" t="n">
        <x:f>Inputs!$B$6+($A9-2020)/10*(Inputs!$C$6-Inputs!$B$6)</x:f>
        <x:v>16.78</x:v>
      </x:c>
      <x:c r="D9" s="40" t="n">
        <x:f>Inputs!$B$7+($A9-2020)/10*(Inputs!$C$7-Inputs!$B$7)</x:f>
        <x:v>23.76</x:v>
      </x:c>
      <x:c r="E9" s="40" t="n">
        <x:f>Inputs!$B$8+($A9-2020)/10*(Inputs!$C$8-Inputs!$B$8)</x:f>
        <x:v>19.96</x:v>
      </x:c>
      <x:c r="F9" s="40" t="n">
        <x:f>Inputs!$B$9+($A9-2020)/10*(Inputs!$C$9-Inputs!$B$9)</x:f>
        <x:v>15.72</x:v>
      </x:c>
      <x:c r="G9" s="40" t="n">
        <x:f>Inputs!$B$10+($A9-2020)/10*(Inputs!$C$10-Inputs!$B$10)</x:f>
        <x:v>12.879999999999999</x:v>
      </x:c>
      <x:c r="H9" s="40" t="n">
        <x:f>Inputs!$B$11+($A9-2020)/10*(Inputs!$C$11-Inputs!$B$11)</x:f>
        <x:v>18.54</x:v>
      </x:c>
      <x:c r="I9" s="40" t="n">
        <x:f>Inputs!$B$12+($A9-2020)/10*(Inputs!$C$12-Inputs!$B$12)</x:f>
        <x:v>18.36</x:v>
      </x:c>
      <x:c r="J9" s="40" t="n">
        <x:f>Inputs!$B$13+($A9-2020)/10*(Inputs!$C$13-Inputs!$B$13)</x:f>
        <x:v>15.78</x:v>
      </x:c>
      <x:c r="K9" s="55" t="n">
        <x:f>SUM(B9:J9)</x:f>
        <x:v>155.17999999999998</x:v>
      </x:c>
      <x:c r="L9" s="55" t="n">
        <x:f>Inputs!$B$14+($A9-2020)/10*(Inputs!$C$14-Inputs!$B$14)</x:f>
        <x:v>155.14000000000001</x:v>
      </x:c>
      <x:c r="M9" s="55" t="n">
        <x:f>K9-L9</x:f>
        <x:v>0.03999999999996362</x:v>
      </x:c>
    </x:row>
    <x:row r="10">
      <x:c r="A10" s="42" t="n">
        <x:v>2025</x:v>
      </x:c>
      <x:c r="B10" s="40" t="n">
        <x:f>Inputs!$B$5+($A10-2020)/10*(Inputs!$C$5-Inputs!$B$5)</x:f>
        <x:v>13.899999999999999</x:v>
      </x:c>
      <x:c r="C10" s="40" t="n">
        <x:f>Inputs!$B$6+($A10-2020)/10*(Inputs!$C$6-Inputs!$B$6)</x:f>
        <x:v>17.4</x:v>
      </x:c>
      <x:c r="D10" s="40" t="n">
        <x:f>Inputs!$B$7+($A10-2020)/10*(Inputs!$C$7-Inputs!$B$7)</x:f>
        <x:v>25</x:v>
      </x:c>
      <x:c r="E10" s="40" t="n">
        <x:f>Inputs!$B$8+($A10-2020)/10*(Inputs!$C$8-Inputs!$B$8)</x:f>
        <x:v>21.15</x:v>
      </x:c>
      <x:c r="F10" s="40" t="n">
        <x:f>Inputs!$B$9+($A10-2020)/10*(Inputs!$C$9-Inputs!$B$9)</x:f>
        <x:v>16.15</x:v>
      </x:c>
      <x:c r="G10" s="40" t="n">
        <x:f>Inputs!$B$10+($A10-2020)/10*(Inputs!$C$10-Inputs!$B$10)</x:f>
        <x:v>13.6</x:v>
      </x:c>
      <x:c r="H10" s="40" t="n">
        <x:f>Inputs!$B$11+($A10-2020)/10*(Inputs!$C$11-Inputs!$B$11)</x:f>
        <x:v>19.65</x:v>
      </x:c>
      <x:c r="I10" s="40" t="n">
        <x:f>Inputs!$B$12+($A10-2020)/10*(Inputs!$C$12-Inputs!$B$12)</x:f>
        <x:v>19.6</x:v>
      </x:c>
      <x:c r="J10" s="40" t="n">
        <x:f>Inputs!$B$13+($A10-2020)/10*(Inputs!$C$13-Inputs!$B$13)</x:f>
        <x:v>16.6</x:v>
      </x:c>
      <x:c r="K10" s="55" t="n">
        <x:f>SUM(B10:J10)</x:f>
        <x:v>163.04999999999998</x:v>
      </x:c>
      <x:c r="L10" s="55" t="n">
        <x:f>Inputs!$B$14+($A10-2020)/10*(Inputs!$C$14-Inputs!$B$14)</x:f>
        <x:v>163</x:v>
      </x:c>
      <x:c r="M10" s="55" t="n">
        <x:f>K10-L10</x:f>
        <x:v>0.04999999999998295</x:v>
      </x:c>
    </x:row>
    <x:row r="11">
      <x:c r="A11" s="42" t="n">
        <x:v>2026</x:v>
      </x:c>
      <x:c r="B11" s="40" t="n">
        <x:f>Inputs!$B$5+($A11-2020)/10*(Inputs!$C$5-Inputs!$B$5)</x:f>
        <x:v>14.399999999999999</x:v>
      </x:c>
      <x:c r="C11" s="40" t="n">
        <x:f>Inputs!$B$6+($A11-2020)/10*(Inputs!$C$6-Inputs!$B$6)</x:f>
        <x:v>18.02</x:v>
      </x:c>
      <x:c r="D11" s="40" t="n">
        <x:f>Inputs!$B$7+($A11-2020)/10*(Inputs!$C$7-Inputs!$B$7)</x:f>
        <x:v>26.24</x:v>
      </x:c>
      <x:c r="E11" s="40" t="n">
        <x:f>Inputs!$B$8+($A11-2020)/10*(Inputs!$C$8-Inputs!$B$8)</x:f>
        <x:v>22.34</x:v>
      </x:c>
      <x:c r="F11" s="40" t="n">
        <x:f>Inputs!$B$9+($A11-2020)/10*(Inputs!$C$9-Inputs!$B$9)</x:f>
        <x:v>16.580000000000002</x:v>
      </x:c>
      <x:c r="G11" s="40" t="n">
        <x:f>Inputs!$B$10+($A11-2020)/10*(Inputs!$C$10-Inputs!$B$10)</x:f>
        <x:v>14.32</x:v>
      </x:c>
      <x:c r="H11" s="40" t="n">
        <x:f>Inputs!$B$11+($A11-2020)/10*(Inputs!$C$11-Inputs!$B$11)</x:f>
        <x:v>20.759999999999998</x:v>
      </x:c>
      <x:c r="I11" s="40" t="n">
        <x:f>Inputs!$B$12+($A11-2020)/10*(Inputs!$C$12-Inputs!$B$12)</x:f>
        <x:v>20.84</x:v>
      </x:c>
      <x:c r="J11" s="40" t="n">
        <x:f>Inputs!$B$13+($A11-2020)/10*(Inputs!$C$13-Inputs!$B$13)</x:f>
        <x:v>17.419999999999998</x:v>
      </x:c>
      <x:c r="K11" s="55" t="n">
        <x:f>SUM(B11:J11)</x:f>
        <x:v>170.92</x:v>
      </x:c>
      <x:c r="L11" s="55" t="n">
        <x:f>Inputs!$B$14+($A11-2020)/10*(Inputs!$C$14-Inputs!$B$14)</x:f>
        <x:v>170.86</x:v>
      </x:c>
      <x:c r="M11" s="55" t="n">
        <x:f>K11-L11</x:f>
        <x:v>0.05999999999997385</x:v>
      </x:c>
    </x:row>
    <x:row r="12">
      <x:c r="A12" s="42" t="n">
        <x:v>2027</x:v>
      </x:c>
      <x:c r="B12" s="40" t="n">
        <x:f>Inputs!$B$5+($A12-2020)/10*(Inputs!$C$5-Inputs!$B$5)</x:f>
        <x:v>14.899999999999999</x:v>
      </x:c>
      <x:c r="C12" s="40" t="n">
        <x:f>Inputs!$B$6+($A12-2020)/10*(Inputs!$C$6-Inputs!$B$6)</x:f>
        <x:v>18.64</x:v>
      </x:c>
      <x:c r="D12" s="40" t="n">
        <x:f>Inputs!$B$7+($A12-2020)/10*(Inputs!$C$7-Inputs!$B$7)</x:f>
        <x:v>27.479999999999997</x:v>
      </x:c>
      <x:c r="E12" s="40" t="n">
        <x:f>Inputs!$B$8+($A12-2020)/10*(Inputs!$C$8-Inputs!$B$8)</x:f>
        <x:v>23.53</x:v>
      </x:c>
      <x:c r="F12" s="40" t="n">
        <x:f>Inputs!$B$9+($A12-2020)/10*(Inputs!$C$9-Inputs!$B$9)</x:f>
        <x:v>17.01</x:v>
      </x:c>
      <x:c r="G12" s="40" t="n">
        <x:f>Inputs!$B$10+($A12-2020)/10*(Inputs!$C$10-Inputs!$B$10)</x:f>
        <x:v>15.04</x:v>
      </x:c>
      <x:c r="H12" s="40" t="n">
        <x:f>Inputs!$B$11+($A12-2020)/10*(Inputs!$C$11-Inputs!$B$11)</x:f>
        <x:v>21.869999999999997</x:v>
      </x:c>
      <x:c r="I12" s="40" t="n">
        <x:f>Inputs!$B$12+($A12-2020)/10*(Inputs!$C$12-Inputs!$B$12)</x:f>
        <x:v>22.08</x:v>
      </x:c>
      <x:c r="J12" s="40" t="n">
        <x:f>Inputs!$B$13+($A12-2020)/10*(Inputs!$C$13-Inputs!$B$13)</x:f>
        <x:v>18.24</x:v>
      </x:c>
      <x:c r="K12" s="55" t="n">
        <x:f>SUM(B12:J12)</x:f>
        <x:v>178.79000000000002</x:v>
      </x:c>
      <x:c r="L12" s="55" t="n">
        <x:f>Inputs!$B$14+($A12-2020)/10*(Inputs!$C$14-Inputs!$B$14)</x:f>
        <x:v>178.72</x:v>
      </x:c>
      <x:c r="M12" s="55" t="n">
        <x:f>K12-L12</x:f>
        <x:v>0.0700000000000216</x:v>
      </x:c>
    </x:row>
    <x:row r="13">
      <x:c r="A13" s="42" t="n">
        <x:v>2028</x:v>
      </x:c>
      <x:c r="B13" s="40" t="n">
        <x:f>Inputs!$B$5+($A13-2020)/10*(Inputs!$C$5-Inputs!$B$5)</x:f>
        <x:v>15.399999999999999</x:v>
      </x:c>
      <x:c r="C13" s="40" t="n">
        <x:f>Inputs!$B$6+($A13-2020)/10*(Inputs!$C$6-Inputs!$B$6)</x:f>
        <x:v>19.26</x:v>
      </x:c>
      <x:c r="D13" s="40" t="n">
        <x:f>Inputs!$B$7+($A13-2020)/10*(Inputs!$C$7-Inputs!$B$7)</x:f>
        <x:v>28.72</x:v>
      </x:c>
      <x:c r="E13" s="40" t="n">
        <x:f>Inputs!$B$8+($A13-2020)/10*(Inputs!$C$8-Inputs!$B$8)</x:f>
        <x:v>24.72</x:v>
      </x:c>
      <x:c r="F13" s="40" t="n">
        <x:f>Inputs!$B$9+($A13-2020)/10*(Inputs!$C$9-Inputs!$B$9)</x:f>
        <x:v>17.44</x:v>
      </x:c>
      <x:c r="G13" s="40" t="n">
        <x:f>Inputs!$B$10+($A13-2020)/10*(Inputs!$C$10-Inputs!$B$10)</x:f>
        <x:v>15.76</x:v>
      </x:c>
      <x:c r="H13" s="40" t="n">
        <x:f>Inputs!$B$11+($A13-2020)/10*(Inputs!$C$11-Inputs!$B$11)</x:f>
        <x:v>22.98</x:v>
      </x:c>
      <x:c r="I13" s="40" t="n">
        <x:f>Inputs!$B$12+($A13-2020)/10*(Inputs!$C$12-Inputs!$B$12)</x:f>
        <x:v>23.32</x:v>
      </x:c>
      <x:c r="J13" s="40" t="n">
        <x:f>Inputs!$B$13+($A13-2020)/10*(Inputs!$C$13-Inputs!$B$13)</x:f>
        <x:v>19.06</x:v>
      </x:c>
      <x:c r="K13" s="55" t="n">
        <x:f>SUM(B13:J13)</x:f>
        <x:v>186.66</x:v>
      </x:c>
      <x:c r="L13" s="55" t="n">
        <x:f>Inputs!$B$14+($A13-2020)/10*(Inputs!$C$14-Inputs!$B$14)</x:f>
        <x:v>186.58</x:v>
      </x:c>
      <x:c r="M13" s="55" t="n">
        <x:f>K13-L13</x:f>
        <x:v>0.07999999999998408</x:v>
      </x:c>
    </x:row>
    <x:row r="14">
      <x:c r="A14" s="42" t="n">
        <x:v>2029</x:v>
      </x:c>
      <x:c r="B14" s="40" t="n">
        <x:f>Inputs!$B$5+($A14-2020)/10*(Inputs!$C$5-Inputs!$B$5)</x:f>
        <x:v>15.899999999999999</x:v>
      </x:c>
      <x:c r="C14" s="40" t="n">
        <x:f>Inputs!$B$6+($A14-2020)/10*(Inputs!$C$6-Inputs!$B$6)</x:f>
        <x:v>19.88</x:v>
      </x:c>
      <x:c r="D14" s="40" t="n">
        <x:f>Inputs!$B$7+($A14-2020)/10*(Inputs!$C$7-Inputs!$B$7)</x:f>
        <x:v>29.96</x:v>
      </x:c>
      <x:c r="E14" s="40" t="n">
        <x:f>Inputs!$B$8+($A14-2020)/10*(Inputs!$C$8-Inputs!$B$8)</x:f>
        <x:v>25.910000000000004</x:v>
      </x:c>
      <x:c r="F14" s="40" t="n">
        <x:f>Inputs!$B$9+($A14-2020)/10*(Inputs!$C$9-Inputs!$B$9)</x:f>
        <x:v>17.87</x:v>
      </x:c>
      <x:c r="G14" s="40" t="n">
        <x:f>Inputs!$B$10+($A14-2020)/10*(Inputs!$C$10-Inputs!$B$10)</x:f>
        <x:v>16.48</x:v>
      </x:c>
      <x:c r="H14" s="40" t="n">
        <x:f>Inputs!$B$11+($A14-2020)/10*(Inputs!$C$11-Inputs!$B$11)</x:f>
        <x:v>24.09</x:v>
      </x:c>
      <x:c r="I14" s="40" t="n">
        <x:f>Inputs!$B$12+($A14-2020)/10*(Inputs!$C$12-Inputs!$B$12)</x:f>
        <x:v>24.560000000000002</x:v>
      </x:c>
      <x:c r="J14" s="40" t="n">
        <x:f>Inputs!$B$13+($A14-2020)/10*(Inputs!$C$13-Inputs!$B$13)</x:f>
        <x:v>19.88</x:v>
      </x:c>
      <x:c r="K14" s="55" t="n">
        <x:f>SUM(B14:J14)</x:f>
        <x:v>194.53</x:v>
      </x:c>
      <x:c r="L14" s="55" t="n">
        <x:f>Inputs!$B$14+($A14-2020)/10*(Inputs!$C$14-Inputs!$B$14)</x:f>
        <x:v>194.44</x:v>
      </x:c>
      <x:c r="M14" s="55" t="n">
        <x:f>K14-L14</x:f>
        <x:v>0.09000000000000341</x:v>
      </x:c>
    </x:row>
    <x:row r="15">
      <x:c r="A15" s="51" t="n">
        <x:v>2030</x:v>
      </x:c>
      <x:c r="B15" s="52" t="n">
        <x:f>Inputs!$B$5+($A15-2020)/10*(Inputs!$C$5-Inputs!$B$5)</x:f>
        <x:v>16.4</x:v>
      </x:c>
      <x:c r="C15" s="52" t="n">
        <x:f>Inputs!$B$6+($A15-2020)/10*(Inputs!$C$6-Inputs!$B$6)</x:f>
        <x:v>20.5</x:v>
      </x:c>
      <x:c r="D15" s="52" t="n">
        <x:f>Inputs!$B$7+($A15-2020)/10*(Inputs!$C$7-Inputs!$B$7)</x:f>
        <x:v>31.2</x:v>
      </x:c>
      <x:c r="E15" s="52" t="n">
        <x:f>Inputs!$B$8+($A15-2020)/10*(Inputs!$C$8-Inputs!$B$8)</x:f>
        <x:v>27.1</x:v>
      </x:c>
      <x:c r="F15" s="52" t="n">
        <x:f>Inputs!$B$9+($A15-2020)/10*(Inputs!$C$9-Inputs!$B$9)</x:f>
        <x:v>18.3</x:v>
      </x:c>
      <x:c r="G15" s="52" t="n">
        <x:f>Inputs!$B$10+($A15-2020)/10*(Inputs!$C$10-Inputs!$B$10)</x:f>
        <x:v>17.2</x:v>
      </x:c>
      <x:c r="H15" s="52" t="n">
        <x:f>Inputs!$B$11+($A15-2020)/10*(Inputs!$C$11-Inputs!$B$11)</x:f>
        <x:v>25.2</x:v>
      </x:c>
      <x:c r="I15" s="52" t="n">
        <x:f>Inputs!$B$12+($A15-2020)/10*(Inputs!$C$12-Inputs!$B$12)</x:f>
        <x:v>25.8</x:v>
      </x:c>
      <x:c r="J15" s="52" t="n">
        <x:f>Inputs!$B$13+($A15-2020)/10*(Inputs!$C$13-Inputs!$B$13)</x:f>
        <x:v>20.7</x:v>
      </x:c>
      <x:c r="K15" s="56" t="n">
        <x:f>SUM(B15:J15)</x:f>
        <x:v>202.39999999999998</x:v>
      </x:c>
      <x:c r="L15" s="56" t="n">
        <x:f>Inputs!$B$14+($A15-2020)/10*(Inputs!$C$14-Inputs!$B$14)</x:f>
        <x:v>202.3</x:v>
      </x:c>
      <x:c r="M15" s="56" t="n">
        <x:f>K15-L15</x:f>
        <x:v>0.0999999999999659</x:v>
      </x:c>
    </x:row>
    <x:row r="18">
      <x:c r="A18" s="62" t="str">
        <x:v>Linear interpolation of peak demand, 2020–2030</x:v>
      </x:c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</x:row>
    <x:row r="20">
      <x:c r="A20" s="23" t="str">
        <x:v>Year</x:v>
      </x:c>
      <x:c r="B20" s="23" t="str">
        <x:v>Chennai North</x:v>
      </x:c>
      <x:c r="C20" s="23" t="str">
        <x:v>Chennai South</x:v>
      </x:c>
      <x:c r="D20" s="23" t="str">
        <x:v>Coimbatore</x:v>
      </x:c>
      <x:c r="E20" s="23" t="str">
        <x:v>Erode</x:v>
      </x:c>
      <x:c r="F20" s="23" t="str">
        <x:v>Madurai</x:v>
      </x:c>
      <x:c r="G20" s="23" t="str">
        <x:v>Tirunelveli</x:v>
      </x:c>
      <x:c r="H20" s="23" t="str">
        <x:v>Trichy</x:v>
      </x:c>
      <x:c r="I20" s="23" t="str">
        <x:v>Vellore</x:v>
      </x:c>
      <x:c r="J20" s="23" t="str">
        <x:v>Villupuram</x:v>
      </x:c>
      <x:c r="K20" s="23" t="str">
        <x:v>BA sum (GW)</x:v>
      </x:c>
      <x:c r="L20" s="23" t="str">
        <x:v>TN stated-line interpolation (GW)</x:v>
      </x:c>
      <x:c r="M20" s="23" t="str">
        <x:v>Difference (GW)</x:v>
      </x:c>
    </x:row>
    <x:row r="21">
      <x:c r="A21" s="42" t="n">
        <x:v>2020</x:v>
      </x:c>
      <x:c r="B21" s="40" t="n">
        <x:f>Inputs!$E$5+($A21-2020)/10*(Inputs!$F$5-Inputs!$E$5)</x:f>
        <x:v>1.7</x:v>
      </x:c>
      <x:c r="C21" s="40" t="n">
        <x:f>Inputs!$E$6+($A21-2020)/10*(Inputs!$F$6-Inputs!$E$6)</x:f>
        <x:v>2.1</x:v>
      </x:c>
      <x:c r="D21" s="40" t="n">
        <x:f>Inputs!$E$7+($A21-2020)/10*(Inputs!$F$7-Inputs!$E$7)</x:f>
        <x:v>2.8</x:v>
      </x:c>
      <x:c r="E21" s="40" t="n">
        <x:f>Inputs!$E$8+($A21-2020)/10*(Inputs!$F$8-Inputs!$E$8)</x:f>
        <x:v>2.2</x:v>
      </x:c>
      <x:c r="F21" s="40" t="n">
        <x:f>Inputs!$E$9+($A21-2020)/10*(Inputs!$F$9-Inputs!$E$9)</x:f>
        <x:v>2.1</x:v>
      </x:c>
      <x:c r="G21" s="40" t="n">
        <x:f>Inputs!$E$10+($A21-2020)/10*(Inputs!$F$10-Inputs!$E$10)</x:f>
        <x:v>1.5</x:v>
      </x:c>
      <x:c r="H21" s="40" t="n">
        <x:f>Inputs!$E$11+($A21-2020)/10*(Inputs!$F$11-Inputs!$E$11)</x:f>
        <x:v>2.1</x:v>
      </x:c>
      <x:c r="I21" s="40" t="n">
        <x:f>Inputs!$E$12+($A21-2020)/10*(Inputs!$F$12-Inputs!$E$12)</x:f>
        <x:v>2</x:v>
      </x:c>
      <x:c r="J21" s="40" t="n">
        <x:f>Inputs!$E$13+($A21-2020)/10*(Inputs!$F$13-Inputs!$E$13)</x:f>
        <x:v>1.9</x:v>
      </x:c>
      <x:c r="K21" s="55" t="n">
        <x:f>SUM(B21:J21)</x:f>
        <x:v>18.4</x:v>
      </x:c>
      <x:c r="L21" s="55" t="n">
        <x:f>Inputs!$E$14+($A21-2020)/10*(Inputs!$F$14-Inputs!$E$14)</x:f>
        <x:v>18.3</x:v>
      </x:c>
      <x:c r="M21" s="55" t="n">
        <x:f>K21-L21</x:f>
        <x:v>0.09999999999999787</x:v>
      </x:c>
    </x:row>
    <x:row r="22">
      <x:c r="A22" s="42" t="n">
        <x:v>2021</x:v>
      </x:c>
      <x:c r="B22" s="40" t="n">
        <x:f>Inputs!$E$5+($A22-2020)/10*(Inputs!$F$5-Inputs!$E$5)</x:f>
        <x:v>1.78</x:v>
      </x:c>
      <x:c r="C22" s="40" t="n">
        <x:f>Inputs!$E$6+($A22-2020)/10*(Inputs!$F$6-Inputs!$E$6)</x:f>
        <x:v>2.2</x:v>
      </x:c>
      <x:c r="D22" s="40" t="n">
        <x:f>Inputs!$E$7+($A22-2020)/10*(Inputs!$F$7-Inputs!$E$7)</x:f>
        <x:v>3</x:v>
      </x:c>
      <x:c r="E22" s="40" t="n">
        <x:f>Inputs!$E$8+($A22-2020)/10*(Inputs!$F$8-Inputs!$E$8)</x:f>
        <x:v>2.39</x:v>
      </x:c>
      <x:c r="F22" s="40" t="n">
        <x:f>Inputs!$E$9+($A22-2020)/10*(Inputs!$F$9-Inputs!$E$9)</x:f>
        <x:v>2.17</x:v>
      </x:c>
      <x:c r="G22" s="40" t="n">
        <x:f>Inputs!$E$10+($A22-2020)/10*(Inputs!$F$10-Inputs!$E$10)</x:f>
        <x:v>1.61</x:v>
      </x:c>
      <x:c r="H22" s="40" t="n">
        <x:f>Inputs!$E$11+($A22-2020)/10*(Inputs!$F$11-Inputs!$E$11)</x:f>
        <x:v>2.27</x:v>
      </x:c>
      <x:c r="I22" s="40" t="n">
        <x:f>Inputs!$E$12+($A22-2020)/10*(Inputs!$F$12-Inputs!$E$12)</x:f>
        <x:v>2.19</x:v>
      </x:c>
      <x:c r="J22" s="40" t="n">
        <x:f>Inputs!$E$13+($A22-2020)/10*(Inputs!$F$13-Inputs!$E$13)</x:f>
        <x:v>2.03</x:v>
      </x:c>
      <x:c r="K22" s="55" t="n">
        <x:f>SUM(B22:J22)</x:f>
        <x:v>19.64</x:v>
      </x:c>
      <x:c r="L22" s="55" t="n">
        <x:f>Inputs!$E$14+($A22-2020)/10*(Inputs!$F$14-Inputs!$E$14)</x:f>
        <x:v>19.55</x:v>
      </x:c>
      <x:c r="M22" s="55" t="n">
        <x:f>K22-L22</x:f>
        <x:v>0.08999999999999986</x:v>
      </x:c>
    </x:row>
    <x:row r="23">
      <x:c r="A23" s="42" t="n">
        <x:v>2022</x:v>
      </x:c>
      <x:c r="B23" s="40" t="n">
        <x:f>Inputs!$E$5+($A23-2020)/10*(Inputs!$F$5-Inputs!$E$5)</x:f>
        <x:v>1.8599999999999999</x:v>
      </x:c>
      <x:c r="C23" s="40" t="n">
        <x:f>Inputs!$E$6+($A23-2020)/10*(Inputs!$F$6-Inputs!$E$6)</x:f>
        <x:v>2.3000000000000003</x:v>
      </x:c>
      <x:c r="D23" s="40" t="n">
        <x:f>Inputs!$E$7+($A23-2020)/10*(Inputs!$F$7-Inputs!$E$7)</x:f>
        <x:v>3.1999999999999997</x:v>
      </x:c>
      <x:c r="E23" s="40" t="n">
        <x:f>Inputs!$E$8+($A23-2020)/10*(Inputs!$F$8-Inputs!$E$8)</x:f>
        <x:v>2.58</x:v>
      </x:c>
      <x:c r="F23" s="40" t="n">
        <x:f>Inputs!$E$9+($A23-2020)/10*(Inputs!$F$9-Inputs!$E$9)</x:f>
        <x:v>2.24</x:v>
      </x:c>
      <x:c r="G23" s="40" t="n">
        <x:f>Inputs!$E$10+($A23-2020)/10*(Inputs!$F$10-Inputs!$E$10)</x:f>
        <x:v>1.72</x:v>
      </x:c>
      <x:c r="H23" s="40" t="n">
        <x:f>Inputs!$E$11+($A23-2020)/10*(Inputs!$F$11-Inputs!$E$11)</x:f>
        <x:v>2.44</x:v>
      </x:c>
      <x:c r="I23" s="40" t="n">
        <x:f>Inputs!$E$12+($A23-2020)/10*(Inputs!$F$12-Inputs!$E$12)</x:f>
        <x:v>2.38</x:v>
      </x:c>
      <x:c r="J23" s="40" t="n">
        <x:f>Inputs!$E$13+($A23-2020)/10*(Inputs!$F$13-Inputs!$E$13)</x:f>
        <x:v>2.16</x:v>
      </x:c>
      <x:c r="K23" s="55" t="n">
        <x:f>SUM(B23:J23)</x:f>
        <x:v>20.88</x:v>
      </x:c>
      <x:c r="L23" s="55" t="n">
        <x:f>Inputs!$E$14+($A23-2020)/10*(Inputs!$F$14-Inputs!$E$14)</x:f>
        <x:v>20.8</x:v>
      </x:c>
      <x:c r="M23" s="55" t="n">
        <x:f>K23-L23</x:f>
        <x:v>0.0799999999999983</x:v>
      </x:c>
    </x:row>
    <x:row r="24">
      <x:c r="A24" s="42" t="n">
        <x:v>2023</x:v>
      </x:c>
      <x:c r="B24" s="40" t="n">
        <x:f>Inputs!$E$5+($A24-2020)/10*(Inputs!$F$5-Inputs!$E$5)</x:f>
        <x:v>1.94</x:v>
      </x:c>
      <x:c r="C24" s="40" t="n">
        <x:f>Inputs!$E$6+($A24-2020)/10*(Inputs!$F$6-Inputs!$E$6)</x:f>
        <x:v>2.4</x:v>
      </x:c>
      <x:c r="D24" s="40" t="n">
        <x:f>Inputs!$E$7+($A24-2020)/10*(Inputs!$F$7-Inputs!$E$7)</x:f>
        <x:v>3.4</x:v>
      </x:c>
      <x:c r="E24" s="40" t="n">
        <x:f>Inputs!$E$8+($A24-2020)/10*(Inputs!$F$8-Inputs!$E$8)</x:f>
        <x:v>2.77</x:v>
      </x:c>
      <x:c r="F24" s="40" t="n">
        <x:f>Inputs!$E$9+($A24-2020)/10*(Inputs!$F$9-Inputs!$E$9)</x:f>
        <x:v>2.31</x:v>
      </x:c>
      <x:c r="G24" s="40" t="n">
        <x:f>Inputs!$E$10+($A24-2020)/10*(Inputs!$F$10-Inputs!$E$10)</x:f>
        <x:v>1.83</x:v>
      </x:c>
      <x:c r="H24" s="40" t="n">
        <x:f>Inputs!$E$11+($A24-2020)/10*(Inputs!$F$11-Inputs!$E$11)</x:f>
        <x:v>2.61</x:v>
      </x:c>
      <x:c r="I24" s="40" t="n">
        <x:f>Inputs!$E$12+($A24-2020)/10*(Inputs!$F$12-Inputs!$E$12)</x:f>
        <x:v>2.57</x:v>
      </x:c>
      <x:c r="J24" s="40" t="n">
        <x:f>Inputs!$E$13+($A24-2020)/10*(Inputs!$F$13-Inputs!$E$13)</x:f>
        <x:v>2.29</x:v>
      </x:c>
      <x:c r="K24" s="55" t="n">
        <x:f>SUM(B24:J24)</x:f>
        <x:v>22.12</x:v>
      </x:c>
      <x:c r="L24" s="55" t="n">
        <x:f>Inputs!$E$14+($A24-2020)/10*(Inputs!$F$14-Inputs!$E$14)</x:f>
        <x:v>22.05</x:v>
      </x:c>
      <x:c r="M24" s="55" t="n">
        <x:f>K24-L24</x:f>
        <x:v>0.07000000000000028</x:v>
      </x:c>
    </x:row>
    <x:row r="25">
      <x:c r="A25" s="42" t="n">
        <x:v>2024</x:v>
      </x:c>
      <x:c r="B25" s="40" t="n">
        <x:f>Inputs!$E$5+($A25-2020)/10*(Inputs!$F$5-Inputs!$E$5)</x:f>
        <x:v>2.02</x:v>
      </x:c>
      <x:c r="C25" s="40" t="n">
        <x:f>Inputs!$E$6+($A25-2020)/10*(Inputs!$F$6-Inputs!$E$6)</x:f>
        <x:v>2.5</x:v>
      </x:c>
      <x:c r="D25" s="40" t="n">
        <x:f>Inputs!$E$7+($A25-2020)/10*(Inputs!$F$7-Inputs!$E$7)</x:f>
        <x:v>3.5999999999999996</x:v>
      </x:c>
      <x:c r="E25" s="40" t="n">
        <x:f>Inputs!$E$8+($A25-2020)/10*(Inputs!$F$8-Inputs!$E$8)</x:f>
        <x:v>2.96</x:v>
      </x:c>
      <x:c r="F25" s="40" t="n">
        <x:f>Inputs!$E$9+($A25-2020)/10*(Inputs!$F$9-Inputs!$E$9)</x:f>
        <x:v>2.38</x:v>
      </x:c>
      <x:c r="G25" s="40" t="n">
        <x:f>Inputs!$E$10+($A25-2020)/10*(Inputs!$F$10-Inputs!$E$10)</x:f>
        <x:v>1.94</x:v>
      </x:c>
      <x:c r="H25" s="40" t="n">
        <x:f>Inputs!$E$11+($A25-2020)/10*(Inputs!$F$11-Inputs!$E$11)</x:f>
        <x:v>2.7800000000000002</x:v>
      </x:c>
      <x:c r="I25" s="40" t="n">
        <x:f>Inputs!$E$12+($A25-2020)/10*(Inputs!$F$12-Inputs!$E$12)</x:f>
        <x:v>2.76</x:v>
      </x:c>
      <x:c r="J25" s="40" t="n">
        <x:f>Inputs!$E$13+($A25-2020)/10*(Inputs!$F$13-Inputs!$E$13)</x:f>
        <x:v>2.42</x:v>
      </x:c>
      <x:c r="K25" s="55" t="n">
        <x:f>SUM(B25:J25)</x:f>
        <x:v>23.36</x:v>
      </x:c>
      <x:c r="L25" s="55" t="n">
        <x:f>Inputs!$E$14+($A25-2020)/10*(Inputs!$F$14-Inputs!$E$14)</x:f>
        <x:v>23.3</x:v>
      </x:c>
      <x:c r="M25" s="55" t="n">
        <x:f>K25-L25</x:f>
        <x:v>0.05999999999999872</x:v>
      </x:c>
    </x:row>
    <x:row r="26">
      <x:c r="A26" s="42" t="n">
        <x:v>2025</x:v>
      </x:c>
      <x:c r="B26" s="40" t="n">
        <x:f>Inputs!$E$5+($A26-2020)/10*(Inputs!$F$5-Inputs!$E$5)</x:f>
        <x:v>2.1</x:v>
      </x:c>
      <x:c r="C26" s="40" t="n">
        <x:f>Inputs!$E$6+($A26-2020)/10*(Inputs!$F$6-Inputs!$E$6)</x:f>
        <x:v>2.6</x:v>
      </x:c>
      <x:c r="D26" s="40" t="n">
        <x:f>Inputs!$E$7+($A26-2020)/10*(Inputs!$F$7-Inputs!$E$7)</x:f>
        <x:v>3.8</x:v>
      </x:c>
      <x:c r="E26" s="40" t="n">
        <x:f>Inputs!$E$8+($A26-2020)/10*(Inputs!$F$8-Inputs!$E$8)</x:f>
        <x:v>3.15</x:v>
      </x:c>
      <x:c r="F26" s="40" t="n">
        <x:f>Inputs!$E$9+($A26-2020)/10*(Inputs!$F$9-Inputs!$E$9)</x:f>
        <x:v>2.45</x:v>
      </x:c>
      <x:c r="G26" s="40" t="n">
        <x:f>Inputs!$E$10+($A26-2020)/10*(Inputs!$F$10-Inputs!$E$10)</x:f>
        <x:v>2.05</x:v>
      </x:c>
      <x:c r="H26" s="40" t="n">
        <x:f>Inputs!$E$11+($A26-2020)/10*(Inputs!$F$11-Inputs!$E$11)</x:f>
        <x:v>2.95</x:v>
      </x:c>
      <x:c r="I26" s="40" t="n">
        <x:f>Inputs!$E$12+($A26-2020)/10*(Inputs!$F$12-Inputs!$E$12)</x:f>
        <x:v>2.95</x:v>
      </x:c>
      <x:c r="J26" s="40" t="n">
        <x:f>Inputs!$E$13+($A26-2020)/10*(Inputs!$F$13-Inputs!$E$13)</x:f>
        <x:v>2.55</x:v>
      </x:c>
      <x:c r="K26" s="55" t="n">
        <x:f>SUM(B26:J26)</x:f>
        <x:v>24.6</x:v>
      </x:c>
      <x:c r="L26" s="55" t="n">
        <x:f>Inputs!$E$14+($A26-2020)/10*(Inputs!$F$14-Inputs!$E$14)</x:f>
        <x:v>24.55</x:v>
      </x:c>
      <x:c r="M26" s="55" t="n">
        <x:f>K26-L26</x:f>
        <x:v>0.05000000000000071</x:v>
      </x:c>
    </x:row>
    <x:row r="27">
      <x:c r="A27" s="42" t="n">
        <x:v>2026</x:v>
      </x:c>
      <x:c r="B27" s="40" t="n">
        <x:f>Inputs!$E$5+($A27-2020)/10*(Inputs!$F$5-Inputs!$E$5)</x:f>
        <x:v>2.1799999999999997</x:v>
      </x:c>
      <x:c r="C27" s="40" t="n">
        <x:f>Inputs!$E$6+($A27-2020)/10*(Inputs!$F$6-Inputs!$E$6)</x:f>
        <x:v>2.7</x:v>
      </x:c>
      <x:c r="D27" s="40" t="n">
        <x:f>Inputs!$E$7+($A27-2020)/10*(Inputs!$F$7-Inputs!$E$7)</x:f>
        <x:v>4</x:v>
      </x:c>
      <x:c r="E27" s="40" t="n">
        <x:f>Inputs!$E$8+($A27-2020)/10*(Inputs!$F$8-Inputs!$E$8)</x:f>
        <x:v>3.34</x:v>
      </x:c>
      <x:c r="F27" s="40" t="n">
        <x:f>Inputs!$E$9+($A27-2020)/10*(Inputs!$F$9-Inputs!$E$9)</x:f>
        <x:v>2.52</x:v>
      </x:c>
      <x:c r="G27" s="40" t="n">
        <x:f>Inputs!$E$10+($A27-2020)/10*(Inputs!$F$10-Inputs!$E$10)</x:f>
        <x:v>2.16</x:v>
      </x:c>
      <x:c r="H27" s="40" t="n">
        <x:f>Inputs!$E$11+($A27-2020)/10*(Inputs!$F$11-Inputs!$E$11)</x:f>
        <x:v>3.12</x:v>
      </x:c>
      <x:c r="I27" s="40" t="n">
        <x:f>Inputs!$E$12+($A27-2020)/10*(Inputs!$F$12-Inputs!$E$12)</x:f>
        <x:v>3.1399999999999997</x:v>
      </x:c>
      <x:c r="J27" s="40" t="n">
        <x:f>Inputs!$E$13+($A27-2020)/10*(Inputs!$F$13-Inputs!$E$13)</x:f>
        <x:v>2.68</x:v>
      </x:c>
      <x:c r="K27" s="55" t="n">
        <x:f>SUM(B27:J27)</x:f>
        <x:v>25.84</x:v>
      </x:c>
      <x:c r="L27" s="55" t="n">
        <x:f>Inputs!$E$14+($A27-2020)/10*(Inputs!$F$14-Inputs!$E$14)</x:f>
        <x:v>25.8</x:v>
      </x:c>
      <x:c r="M27" s="55" t="n">
        <x:f>K27-L27</x:f>
        <x:v>0.03999999999999915</x:v>
      </x:c>
    </x:row>
    <x:row r="28">
      <x:c r="A28" s="42" t="n">
        <x:v>2027</x:v>
      </x:c>
      <x:c r="B28" s="40" t="n">
        <x:f>Inputs!$E$5+($A28-2020)/10*(Inputs!$F$5-Inputs!$E$5)</x:f>
        <x:v>2.26</x:v>
      </x:c>
      <x:c r="C28" s="40" t="n">
        <x:f>Inputs!$E$6+($A28-2020)/10*(Inputs!$F$6-Inputs!$E$6)</x:f>
        <x:v>2.8</x:v>
      </x:c>
      <x:c r="D28" s="40" t="n">
        <x:f>Inputs!$E$7+($A28-2020)/10*(Inputs!$F$7-Inputs!$E$7)</x:f>
        <x:v>4.199999999999999</x:v>
      </x:c>
      <x:c r="E28" s="40" t="n">
        <x:f>Inputs!$E$8+($A28-2020)/10*(Inputs!$F$8-Inputs!$E$8)</x:f>
        <x:v>3.53</x:v>
      </x:c>
      <x:c r="F28" s="40" t="n">
        <x:f>Inputs!$E$9+($A28-2020)/10*(Inputs!$F$9-Inputs!$E$9)</x:f>
        <x:v>2.59</x:v>
      </x:c>
      <x:c r="G28" s="40" t="n">
        <x:f>Inputs!$E$10+($A28-2020)/10*(Inputs!$F$10-Inputs!$E$10)</x:f>
        <x:v>2.27</x:v>
      </x:c>
      <x:c r="H28" s="40" t="n">
        <x:f>Inputs!$E$11+($A28-2020)/10*(Inputs!$F$11-Inputs!$E$11)</x:f>
        <x:v>3.29</x:v>
      </x:c>
      <x:c r="I28" s="40" t="n">
        <x:f>Inputs!$E$12+($A28-2020)/10*(Inputs!$F$12-Inputs!$E$12)</x:f>
        <x:v>3.33</x:v>
      </x:c>
      <x:c r="J28" s="40" t="n">
        <x:f>Inputs!$E$13+($A28-2020)/10*(Inputs!$F$13-Inputs!$E$13)</x:f>
        <x:v>2.81</x:v>
      </x:c>
      <x:c r="K28" s="55" t="n">
        <x:f>SUM(B28:J28)</x:f>
        <x:v>27.079999999999995</x:v>
      </x:c>
      <x:c r="L28" s="55" t="n">
        <x:f>Inputs!$E$14+($A28-2020)/10*(Inputs!$F$14-Inputs!$E$14)</x:f>
        <x:v>27.05</x:v>
      </x:c>
      <x:c r="M28" s="55" t="n">
        <x:f>K28-L28</x:f>
        <x:v>0.02999999999999403</x:v>
      </x:c>
    </x:row>
    <x:row r="29">
      <x:c r="A29" s="42" t="n">
        <x:v>2028</x:v>
      </x:c>
      <x:c r="B29" s="40" t="n">
        <x:f>Inputs!$E$5+($A29-2020)/10*(Inputs!$F$5-Inputs!$E$5)</x:f>
        <x:v>2.34</x:v>
      </x:c>
      <x:c r="C29" s="40" t="n">
        <x:f>Inputs!$E$6+($A29-2020)/10*(Inputs!$F$6-Inputs!$E$6)</x:f>
        <x:v>2.9000000000000004</x:v>
      </x:c>
      <x:c r="D29" s="40" t="n">
        <x:f>Inputs!$E$7+($A29-2020)/10*(Inputs!$F$7-Inputs!$E$7)</x:f>
        <x:v>4.4</x:v>
      </x:c>
      <x:c r="E29" s="40" t="n">
        <x:f>Inputs!$E$8+($A29-2020)/10*(Inputs!$F$8-Inputs!$E$8)</x:f>
        <x:v>3.7199999999999998</x:v>
      </x:c>
      <x:c r="F29" s="40" t="n">
        <x:f>Inputs!$E$9+($A29-2020)/10*(Inputs!$F$9-Inputs!$E$9)</x:f>
        <x:v>2.66</x:v>
      </x:c>
      <x:c r="G29" s="40" t="n">
        <x:f>Inputs!$E$10+($A29-2020)/10*(Inputs!$F$10-Inputs!$E$10)</x:f>
        <x:v>2.38</x:v>
      </x:c>
      <x:c r="H29" s="40" t="n">
        <x:f>Inputs!$E$11+($A29-2020)/10*(Inputs!$F$11-Inputs!$E$11)</x:f>
        <x:v>3.46</x:v>
      </x:c>
      <x:c r="I29" s="40" t="n">
        <x:f>Inputs!$E$12+($A29-2020)/10*(Inputs!$F$12-Inputs!$E$12)</x:f>
        <x:v>3.52</x:v>
      </x:c>
      <x:c r="J29" s="40" t="n">
        <x:f>Inputs!$E$13+($A29-2020)/10*(Inputs!$F$13-Inputs!$E$13)</x:f>
        <x:v>2.9400000000000004</x:v>
      </x:c>
      <x:c r="K29" s="55" t="n">
        <x:f>SUM(B29:J29)</x:f>
        <x:v>28.32</x:v>
      </x:c>
      <x:c r="L29" s="55" t="n">
        <x:f>Inputs!$E$14+($A29-2020)/10*(Inputs!$F$14-Inputs!$E$14)</x:f>
        <x:v>28.3</x:v>
      </x:c>
      <x:c r="M29" s="55" t="n">
        <x:f>K29-L29</x:f>
        <x:v>0.019999999999999574</x:v>
      </x:c>
    </x:row>
    <x:row r="30">
      <x:c r="A30" s="42" t="n">
        <x:v>2029</x:v>
      </x:c>
      <x:c r="B30" s="40" t="n">
        <x:f>Inputs!$E$5+($A30-2020)/10*(Inputs!$F$5-Inputs!$E$5)</x:f>
        <x:v>2.42</x:v>
      </x:c>
      <x:c r="C30" s="40" t="n">
        <x:f>Inputs!$E$6+($A30-2020)/10*(Inputs!$F$6-Inputs!$E$6)</x:f>
        <x:v>3</x:v>
      </x:c>
      <x:c r="D30" s="40" t="n">
        <x:f>Inputs!$E$7+($A30-2020)/10*(Inputs!$F$7-Inputs!$E$7)</x:f>
        <x:v>4.6</x:v>
      </x:c>
      <x:c r="E30" s="40" t="n">
        <x:f>Inputs!$E$8+($A30-2020)/10*(Inputs!$F$8-Inputs!$E$8)</x:f>
        <x:v>3.9099999999999997</x:v>
      </x:c>
      <x:c r="F30" s="40" t="n">
        <x:f>Inputs!$E$9+($A30-2020)/10*(Inputs!$F$9-Inputs!$E$9)</x:f>
        <x:v>2.73</x:v>
      </x:c>
      <x:c r="G30" s="40" t="n">
        <x:f>Inputs!$E$10+($A30-2020)/10*(Inputs!$F$10-Inputs!$E$10)</x:f>
        <x:v>2.49</x:v>
      </x:c>
      <x:c r="H30" s="40" t="n">
        <x:f>Inputs!$E$11+($A30-2020)/10*(Inputs!$F$11-Inputs!$E$11)</x:f>
        <x:v>3.63</x:v>
      </x:c>
      <x:c r="I30" s="40" t="n">
        <x:f>Inputs!$E$12+($A30-2020)/10*(Inputs!$F$12-Inputs!$E$12)</x:f>
        <x:v>3.71</x:v>
      </x:c>
      <x:c r="J30" s="40" t="n">
        <x:f>Inputs!$E$13+($A30-2020)/10*(Inputs!$F$13-Inputs!$E$13)</x:f>
        <x:v>3.0700000000000003</x:v>
      </x:c>
      <x:c r="K30" s="55" t="n">
        <x:f>SUM(B30:J30)</x:f>
        <x:v>29.56</x:v>
      </x:c>
      <x:c r="L30" s="55" t="n">
        <x:f>Inputs!$E$14+($A30-2020)/10*(Inputs!$F$14-Inputs!$E$14)</x:f>
        <x:v>29.55</x:v>
      </x:c>
      <x:c r="M30" s="55" t="n">
        <x:f>K30-L30</x:f>
        <x:v>0.00999999999999801</x:v>
      </x:c>
    </x:row>
    <x:row r="31">
      <x:c r="A31" s="51" t="n">
        <x:v>2030</x:v>
      </x:c>
      <x:c r="B31" s="52" t="n">
        <x:f>Inputs!$E$5+($A31-2020)/10*(Inputs!$F$5-Inputs!$E$5)</x:f>
        <x:v>2.5</x:v>
      </x:c>
      <x:c r="C31" s="52" t="n">
        <x:f>Inputs!$E$6+($A31-2020)/10*(Inputs!$F$6-Inputs!$E$6)</x:f>
        <x:v>3.1</x:v>
      </x:c>
      <x:c r="D31" s="52" t="n">
        <x:f>Inputs!$E$7+($A31-2020)/10*(Inputs!$F$7-Inputs!$E$7)</x:f>
        <x:v>4.8</x:v>
      </x:c>
      <x:c r="E31" s="52" t="n">
        <x:f>Inputs!$E$8+($A31-2020)/10*(Inputs!$F$8-Inputs!$E$8)</x:f>
        <x:v>4.1</x:v>
      </x:c>
      <x:c r="F31" s="52" t="n">
        <x:f>Inputs!$E$9+($A31-2020)/10*(Inputs!$F$9-Inputs!$E$9)</x:f>
        <x:v>2.8</x:v>
      </x:c>
      <x:c r="G31" s="52" t="n">
        <x:f>Inputs!$E$10+($A31-2020)/10*(Inputs!$F$10-Inputs!$E$10)</x:f>
        <x:v>2.6</x:v>
      </x:c>
      <x:c r="H31" s="52" t="n">
        <x:f>Inputs!$E$11+($A31-2020)/10*(Inputs!$F$11-Inputs!$E$11)</x:f>
        <x:v>3.8</x:v>
      </x:c>
      <x:c r="I31" s="52" t="n">
        <x:f>Inputs!$E$12+($A31-2020)/10*(Inputs!$F$12-Inputs!$E$12)</x:f>
        <x:v>3.9</x:v>
      </x:c>
      <x:c r="J31" s="52" t="n">
        <x:f>Inputs!$E$13+($A31-2020)/10*(Inputs!$F$13-Inputs!$E$13)</x:f>
        <x:v>3.2</x:v>
      </x:c>
      <x:c r="K31" s="56" t="n">
        <x:f>SUM(B31:J31)</x:f>
        <x:v>30.799999999999997</x:v>
      </x:c>
      <x:c r="L31" s="56" t="n">
        <x:f>Inputs!$E$14+($A31-2020)/10*(Inputs!$F$14-Inputs!$E$14)</x:f>
        <x:v>30.8</x:v>
      </x:c>
      <x:c r="M31" s="56" t="n">
        <x:f>K31-L31</x:f>
        <x:v>-3.552713678800501e-15</x:v>
      </x:c>
    </x:row>
  </x:sheetData>
  <x:mergeCells>
    <x:mergeCell ref="A1:M1"/>
    <x:mergeCell ref="A2:M2"/>
    <x:mergeCell ref="A18:M18"/>
  </x:mergeCells>
  <x:conditionalFormatting sqref="M5:M15">
    <x:cfRule type="expression" dxfId="0" priority="1">
      <x:formula>ABS(M5)&gt;0.001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5" t="str">
        <x:v>FY2025-26 balancing-area allocation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The 2025.5 interpolated balancing-area shares are scaled to the official TNEB FY2025-26 projected energy requirement.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4" customHeight="1">
      <x:c r="A4" s="98" t="str">
        <x:v>Calibration year</x:v>
      </x:c>
      <x:c r="B4" s="98" t="str">
        <x:v>Interpolated BA total</x:v>
      </x:c>
      <x:c r="C4" s="98" t="str">
        <x:v>Interpolated BA total (TWh)</x:v>
      </x:c>
      <x:c r="D4" s="98" t="str">
        <x:v>Difference</x:v>
      </x:c>
      <x:c r="E4" s="98" t="str">
        <x:v>Official TNEB total (TWh)</x:v>
      </x:c>
      <x:c r="F4" s="98"/>
      <x:c r="G4" s="98" t="str">
        <x:v>Difference (TWh)</x:v>
      </x:c>
      <x:c r="H4" s="98"/>
      <x:c r="I4" s="98" t="str">
        <x:v>Scaling factor</x:v>
      </x:c>
      <x:c r="J4" s="98"/>
    </x:row>
    <x:row r="5" ht="24" customHeight="1">
      <x:c r="A5" s="100" t="n">
        <x:f>Inputs!K4</x:f>
        <x:v>2025.5</x:v>
      </x:c>
      <x:c r="B5" s="101"/>
      <x:c r="C5" s="102" t="n">
        <x:f>SUM(B9:B17)</x:f>
        <x:v>166.98499999999999</x:v>
      </x:c>
      <x:c r="D5" s="102"/>
      <x:c r="E5" s="102" t="n">
        <x:f>Inputs!K7</x:f>
        <x:v>149.063</x:v>
      </x:c>
      <x:c r="F5" s="102"/>
      <x:c r="G5" s="102" t="n">
        <x:f>E5-C5</x:f>
        <x:v>-17.921999999999997</x:v>
      </x:c>
      <x:c r="H5" s="101"/>
      <x:c r="I5" s="103" t="n">
        <x:f>E5/C5</x:f>
        <x:v>0.8926729945803515</x:v>
      </x:c>
      <x:c r="J5" s="101"/>
    </x:row>
    <x:row r="8">
      <x:c r="A8" s="23" t="str">
        <x:v>Balancing area</x:v>
      </x:c>
      <x:c r="B8" s="23" t="str">
        <x:v>Interpolated energy at 2025.5 (TWh)</x:v>
      </x:c>
      <x:c r="C8" s="23" t="str">
        <x:v>Share of interpolated BA total</x:v>
      </x:c>
      <x:c r="D8" s="23" t="str">
        <x:v>Scaled FY2025-26 energy (TWh)</x:v>
      </x:c>
      <x:c r="E8" s="23" t="str">
        <x:v>Scaled FY2025-26 energy (MU)</x:v>
      </x:c>
      <x:c r="F8" s="23" t="str">
        <x:v>Adjustment vs interpolation (TWh)</x:v>
      </x:c>
    </x:row>
    <x:row r="9">
      <x:c r="A9" s="42" t="str">
        <x:v>Chennai North</x:v>
      </x:c>
      <x:c r="B9" s="40" t="n">
        <x:f>Inputs!$B$5+(Inputs!$K$4-2020)/10*(Inputs!$C$5-Inputs!$B$5)</x:f>
        <x:v>14.149999999999999</x:v>
      </x:c>
      <x:c r="C9" s="83" t="n">
        <x:f>B9/$B$18</x:f>
        <x:v>0.0847381501332455</x:v>
      </x:c>
      <x:c r="D9" s="40" t="n">
        <x:f>C9*Inputs!$K$7</x:f>
        <x:v>12.631322873311973</x:v>
      </x:c>
      <x:c r="E9" s="38" t="n">
        <x:f>D9*1000</x:f>
        <x:v>12631.322873311972</x:v>
      </x:c>
      <x:c r="F9" s="40" t="n">
        <x:f>D9-B9</x:f>
        <x:v>-1.5186771266880257</x:v>
      </x:c>
    </x:row>
    <x:row r="10">
      <x:c r="A10" s="42" t="str">
        <x:v>Chennai South</x:v>
      </x:c>
      <x:c r="B10" s="40" t="n">
        <x:f>Inputs!$B$6+(Inputs!$K$4-2020)/10*(Inputs!$C$6-Inputs!$B$6)</x:f>
        <x:v>17.71</x:v>
      </x:c>
      <x:c r="C10" s="83" t="n">
        <x:f>B10/$B$18</x:f>
        <x:v>0.10605743030811152</x:v>
      </x:c>
      <x:c r="D10" s="40" t="n">
        <x:f>C10*Inputs!$K$7</x:f>
        <x:v>15.809238734018026</x:v>
      </x:c>
      <x:c r="E10" s="38" t="n">
        <x:f>D10*1000</x:f>
        <x:v>15809.238734018025</x:v>
      </x:c>
      <x:c r="F10" s="40" t="n">
        <x:f>D10-B10</x:f>
        <x:v>-1.9007612659819753</x:v>
      </x:c>
    </x:row>
    <x:row r="11">
      <x:c r="A11" s="42" t="str">
        <x:v>Coimbatore</x:v>
      </x:c>
      <x:c r="B11" s="40" t="n">
        <x:f>Inputs!$B$7+(Inputs!$K$4-2020)/10*(Inputs!$C$7-Inputs!$B$7)</x:f>
        <x:v>25.62</x:v>
      </x:c>
      <x:c r="C11" s="83" t="n">
        <x:f>B11/$B$18</x:f>
        <x:v>0.1534269545168728</x:v>
      </x:c>
      <x:c r="D11" s="40" t="n">
        <x:f>C11*Inputs!$K$7</x:f>
        <x:v>22.87028212114861</x:v>
      </x:c>
      <x:c r="E11" s="38" t="n">
        <x:f>D11*1000</x:f>
        <x:v>22870.282121148608</x:v>
      </x:c>
      <x:c r="F11" s="40" t="n">
        <x:f>D11-B11</x:f>
        <x:v>-2.749717878851392</x:v>
      </x:c>
    </x:row>
    <x:row r="12">
      <x:c r="A12" s="42" t="str">
        <x:v>Erode</x:v>
      </x:c>
      <x:c r="B12" s="40" t="n">
        <x:f>Inputs!$B$8+(Inputs!$K$4-2020)/10*(Inputs!$C$8-Inputs!$B$8)</x:f>
        <x:v>21.745</x:v>
      </x:c>
      <x:c r="C12" s="83" t="n">
        <x:f>B12/$B$18</x:f>
        <x:v>0.13022127736024194</x:v>
      </x:c>
      <x:c r="D12" s="40" t="n">
        <x:f>C12*Inputs!$K$7</x:f>
        <x:v>19.411174267149743</x:v>
      </x:c>
      <x:c r="E12" s="38" t="n">
        <x:f>D12*1000</x:f>
        <x:v>19411.17426714974</x:v>
      </x:c>
      <x:c r="F12" s="40" t="n">
        <x:f>D12-B12</x:f>
        <x:v>-2.333825732850258</x:v>
      </x:c>
    </x:row>
    <x:row r="13">
      <x:c r="A13" s="42" t="str">
        <x:v>Madurai</x:v>
      </x:c>
      <x:c r="B13" s="40" t="n">
        <x:f>Inputs!$B$9+(Inputs!$K$4-2020)/10*(Inputs!$C$9-Inputs!$B$9)</x:f>
        <x:v>16.365000000000002</x:v>
      </x:c>
      <x:c r="C13" s="83" t="n">
        <x:f>B13/$B$18</x:f>
        <x:v>0.09800281462406805</x:v>
      </x:c>
      <x:c r="D13" s="40" t="n">
        <x:f>C13*Inputs!$K$7</x:f>
        <x:v>14.608593556307456</x:v>
      </x:c>
      <x:c r="E13" s="38" t="n">
        <x:f>D13*1000</x:f>
        <x:v>14608.593556307456</x:v>
      </x:c>
      <x:c r="F13" s="40" t="n">
        <x:f>D13-B13</x:f>
        <x:v>-1.756406443692546</x:v>
      </x:c>
    </x:row>
    <x:row r="14">
      <x:c r="A14" s="42" t="str">
        <x:v>Tirunelveli</x:v>
      </x:c>
      <x:c r="B14" s="40" t="n">
        <x:f>Inputs!$B$10+(Inputs!$K$4-2020)/10*(Inputs!$C$10-Inputs!$B$10)</x:f>
        <x:v>13.96</x:v>
      </x:c>
      <x:c r="C14" s="83" t="n">
        <x:f>B14/$B$18</x:f>
        <x:v>0.08360032338233975</x:v>
      </x:c>
      <x:c r="D14" s="40" t="n">
        <x:f>C14*Inputs!$K$7</x:f>
        <x:v>12.461715004341709</x:v>
      </x:c>
      <x:c r="E14" s="38" t="n">
        <x:f>D14*1000</x:f>
        <x:v>12461.71500434171</x:v>
      </x:c>
      <x:c r="F14" s="40" t="n">
        <x:f>D14-B14</x:f>
        <x:v>-1.4982849956582918</x:v>
      </x:c>
    </x:row>
    <x:row r="15">
      <x:c r="A15" s="42" t="str">
        <x:v>Trichy</x:v>
      </x:c>
      <x:c r="B15" s="40" t="n">
        <x:f>Inputs!$B$11+(Inputs!$K$4-2020)/10*(Inputs!$C$11-Inputs!$B$11)</x:f>
        <x:v>20.205</x:v>
      </x:c>
      <x:c r="C15" s="83" t="n">
        <x:f>B15/$B$18</x:f>
        <x:v>0.12099889211605833</x:v>
      </x:c>
      <x:c r="D15" s="40" t="n">
        <x:f>C15*Inputs!$K$7</x:f>
        <x:v>18.036457855496</x:v>
      </x:c>
      <x:c r="E15" s="38" t="n">
        <x:f>D15*1000</x:f>
        <x:v>18036.457855496</x:v>
      </x:c>
      <x:c r="F15" s="40" t="n">
        <x:f>D15-B15</x:f>
        <x:v>-2.1685421445039985</x:v>
      </x:c>
    </x:row>
    <x:row r="16">
      <x:c r="A16" s="42" t="str">
        <x:v>Vellore</x:v>
      </x:c>
      <x:c r="B16" s="40" t="n">
        <x:f>Inputs!$B$12+(Inputs!$K$4-2020)/10*(Inputs!$C$12-Inputs!$B$12)</x:f>
        <x:v>20.220000000000002</x:v>
      </x:c>
      <x:c r="C16" s="83" t="n">
        <x:f>B16/$B$18</x:f>
        <x:v>0.12108872054376144</x:v>
      </x:c>
      <x:c r="D16" s="40" t="n">
        <x:f>C16*Inputs!$K$7</x:f>
        <x:v>18.04984795041471</x:v>
      </x:c>
      <x:c r="E16" s="38" t="n">
        <x:f>D16*1000</x:f>
        <x:v>18049.847950414707</x:v>
      </x:c>
      <x:c r="F16" s="40" t="n">
        <x:f>D16-B16</x:f>
        <x:v>-2.170152049585294</x:v>
      </x:c>
    </x:row>
    <x:row r="17">
      <x:c r="A17" s="42" t="str">
        <x:v>Villupuram</x:v>
      </x:c>
      <x:c r="B17" s="40" t="n">
        <x:f>Inputs!$B$13+(Inputs!$K$4-2020)/10*(Inputs!$C$13-Inputs!$B$13)</x:f>
        <x:v>17.009999999999998</x:v>
      </x:c>
      <x:c r="C17" s="83" t="n">
        <x:f>B17/$B$18</x:f>
        <x:v>0.10186543701530078</x:v>
      </x:c>
      <x:c r="D17" s="40" t="n">
        <x:f>C17*Inputs!$K$7</x:f>
        <x:v>15.184367637811778</x:v>
      </x:c>
      <x:c r="E17" s="38" t="n">
        <x:f>D17*1000</x:f>
        <x:v>15184.367637811778</x:v>
      </x:c>
      <x:c r="F17" s="40" t="n">
        <x:f>D17-B17</x:f>
        <x:v>-1.8256323621882196</x:v>
      </x:c>
    </x:row>
    <x:row r="18">
      <x:c r="A18" s="43" t="str">
        <x:v>Total</x:v>
      </x:c>
      <x:c r="B18" s="89" t="n">
        <x:f>SUM(B9:B17)</x:f>
        <x:v>166.98499999999999</x:v>
      </x:c>
      <x:c r="C18" s="90" t="n">
        <x:f>SUM(C9:C17)</x:f>
        <x:v>1</x:v>
      </x:c>
      <x:c r="D18" s="89" t="n">
        <x:f>SUM(D9:D17)</x:f>
        <x:v>149.06300000000002</x:v>
      </x:c>
      <x:c r="E18" s="91" t="n">
        <x:f>SUM(E9:E17)</x:f>
        <x:v>149063</x:v>
      </x:c>
      <x:c r="F18" s="89" t="n">
        <x:f>SUM(F9:F17)</x:f>
        <x:v>-17.922</x:v>
      </x:c>
    </x:row>
    <x:row r="22">
      <x:c r="A22" s="23" t="str">
        <x:v>Balancing area</x:v>
      </x:c>
      <x:c r="B22" s="23" t="str">
        <x:v>Interpolated peak at 2025.5 (GW)</x:v>
      </x:c>
      <x:c r="C22" s="23" t="str">
        <x:v>Share of interpolated peak total</x:v>
      </x:c>
      <x:c r="D22" s="23" t="str">
        <x:v>Scaled FY2025-26 peak (GW)</x:v>
      </x:c>
      <x:c r="E22" s="23" t="str">
        <x:v>Scaled FY2025-26 peak (MW)</x:v>
      </x:c>
      <x:c r="F22" s="23" t="str">
        <x:v>Adjustment vs interpolation (GW)</x:v>
      </x:c>
    </x:row>
    <x:row r="23">
      <x:c r="A23" s="42" t="str">
        <x:v>Chennai North</x:v>
      </x:c>
      <x:c r="B23" s="40" t="n">
        <x:f>Inputs!$E$5+(Inputs!$K$4-2020)/10*(Inputs!$F$5-Inputs!$E$5)</x:f>
        <x:v>2.14</x:v>
      </x:c>
      <x:c r="C23" s="83" t="n">
        <x:f>B23/$B$32</x:f>
        <x:v>0.08485329103885804</x:v>
      </x:c>
      <x:c r="D23" s="40" t="n">
        <x:f>C23*Inputs!$K$9</x:f>
        <x:v>1.8227335448057096</x:v>
      </x:c>
      <x:c r="E23" s="38" t="n">
        <x:f>D23*1000</x:f>
        <x:v>1822.7335448057097</x:v>
      </x:c>
      <x:c r="F23" s="40" t="n">
        <x:f>D23-B23</x:f>
        <x:v>-0.31726645519429053</x:v>
      </x:c>
    </x:row>
    <x:row r="24">
      <x:c r="A24" s="42" t="str">
        <x:v>Chennai South</x:v>
      </x:c>
      <x:c r="B24" s="40" t="n">
        <x:f>Inputs!$E$6+(Inputs!$K$4-2020)/10*(Inputs!$F$6-Inputs!$E$6)</x:f>
        <x:v>2.6500000000000004</x:v>
      </x:c>
      <x:c r="C24" s="83" t="n">
        <x:f>B24/$B$32</x:f>
        <x:v>0.10507533703409991</x:v>
      </x:c>
      <x:c r="D24" s="40" t="n">
        <x:f>C24*Inputs!$K$9</x:f>
        <x:v>2.2571233148295002</x:v>
      </x:c>
      <x:c r="E24" s="38" t="n">
        <x:f>D24*1000</x:f>
        <x:v>2257.1233148295</x:v>
      </x:c>
      <x:c r="F24" s="40" t="n">
        <x:f>D24-B24</x:f>
        <x:v>-0.3928766851705001</x:v>
      </x:c>
      <x:c r="H24" s="13" t="str">
        <x:v>Interpretation:
• Interpolated BA sum at 2025.5 = 166.985 TWh.
• Official TNEB FY2025-26 requirement = 149.063 TWh.
• Difference = −17.922 TWh (−10.73%).
• Scale factor = 89.2673%.
The scaling preserves each balancing area's interpolated share.</x:v>
      </x:c>
      <x:c r="I24" s="13"/>
      <x:c r="J24" s="13"/>
      <x:c r="K24" s="13"/>
      <x:c r="L24" s="13"/>
      <x:c r="M24" s="13"/>
      <x:c r="N24" s="13"/>
    </x:row>
    <x:row r="25">
      <x:c r="A25" s="42" t="str">
        <x:v>Coimbatore</x:v>
      </x:c>
      <x:c r="B25" s="40" t="n">
        <x:f>Inputs!$E$7+(Inputs!$K$4-2020)/10*(Inputs!$F$7-Inputs!$E$7)</x:f>
        <x:v>3.9</x:v>
      </x:c>
      <x:c r="C25" s="83" t="n">
        <x:f>B25/$B$32</x:f>
        <x:v>0.1546391752577319</x:v>
      </x:c>
      <x:c r="D25" s="40" t="n">
        <x:f>C25*Inputs!$K$9</x:f>
        <x:v>3.3218041237113396</x:v>
      </x:c>
      <x:c r="E25" s="38" t="n">
        <x:f>D25*1000</x:f>
        <x:v>3321.80412371134</x:v>
      </x:c>
      <x:c r="F25" s="40" t="n">
        <x:f>D25-B25</x:f>
        <x:v>-0.5781958762886603</x:v>
      </x:c>
      <x:c r="H25" s="13"/>
      <x:c r="I25" s="13"/>
      <x:c r="J25" s="13"/>
      <x:c r="K25" s="13"/>
      <x:c r="L25" s="13"/>
      <x:c r="M25" s="13"/>
      <x:c r="N25" s="13"/>
    </x:row>
    <x:row r="26">
      <x:c r="A26" s="42" t="str">
        <x:v>Erode</x:v>
      </x:c>
      <x:c r="B26" s="40" t="n">
        <x:f>Inputs!$E$8+(Inputs!$K$4-2020)/10*(Inputs!$F$8-Inputs!$E$8)</x:f>
        <x:v>3.245</x:v>
      </x:c>
      <x:c r="C26" s="83" t="n">
        <x:f>B26/$B$32</x:f>
        <x:v>0.12866772402854876</x:v>
      </x:c>
      <x:c r="D26" s="40" t="n">
        <x:f>C26*Inputs!$K$9</x:f>
        <x:v>2.763911379857256</x:v>
      </x:c>
      <x:c r="E26" s="38" t="n">
        <x:f>D26*1000</x:f>
        <x:v>2763.911379857256</x:v>
      </x:c>
      <x:c r="F26" s="40" t="n">
        <x:f>D26-B26</x:f>
        <x:v>-0.481088620142744</x:v>
      </x:c>
      <x:c r="H26" s="13"/>
      <x:c r="I26" s="13"/>
      <x:c r="J26" s="13"/>
      <x:c r="K26" s="13"/>
      <x:c r="L26" s="13"/>
      <x:c r="M26" s="13"/>
      <x:c r="N26" s="13"/>
    </x:row>
    <x:row r="27">
      <x:c r="A27" s="42" t="str">
        <x:v>Madurai</x:v>
      </x:c>
      <x:c r="B27" s="40" t="n">
        <x:f>Inputs!$E$9+(Inputs!$K$4-2020)/10*(Inputs!$F$9-Inputs!$E$9)</x:f>
        <x:v>2.485</x:v>
      </x:c>
      <x:c r="C27" s="83" t="n">
        <x:f>B27/$B$32</x:f>
        <x:v>0.09853291038858046</x:v>
      </x:c>
      <x:c r="D27" s="40" t="n">
        <x:f>C27*Inputs!$K$9</x:f>
        <x:v>2.116585448057097</x:v>
      </x:c>
      <x:c r="E27" s="38" t="n">
        <x:f>D27*1000</x:f>
        <x:v>2116.585448057097</x:v>
      </x:c>
      <x:c r="F27" s="40" t="n">
        <x:f>D27-B27</x:f>
        <x:v>-0.36841455194290296</x:v>
      </x:c>
      <x:c r="H27" s="13"/>
      <x:c r="I27" s="13"/>
      <x:c r="J27" s="13"/>
      <x:c r="K27" s="13"/>
      <x:c r="L27" s="13"/>
      <x:c r="M27" s="13"/>
      <x:c r="N27" s="13"/>
    </x:row>
    <x:row r="28">
      <x:c r="A28" s="42" t="str">
        <x:v>Tirunelveli</x:v>
      </x:c>
      <x:c r="B28" s="40" t="n">
        <x:f>Inputs!$E$10+(Inputs!$K$4-2020)/10*(Inputs!$F$10-Inputs!$E$10)</x:f>
        <x:v>2.105</x:v>
      </x:c>
      <x:c r="C28" s="83" t="n">
        <x:f>B28/$B$32</x:f>
        <x:v>0.08346550356859633</x:v>
      </x:c>
      <x:c r="D28" s="40" t="n">
        <x:f>C28*Inputs!$K$9</x:f>
        <x:v>1.792922482157018</x:v>
      </x:c>
      <x:c r="E28" s="38" t="n">
        <x:f>D28*1000</x:f>
        <x:v>1792.922482157018</x:v>
      </x:c>
      <x:c r="F28" s="40" t="n">
        <x:f>D28-B28</x:f>
        <x:v>-0.312077517842982</x:v>
      </x:c>
      <x:c r="H28" s="13"/>
      <x:c r="I28" s="13"/>
      <x:c r="J28" s="13"/>
      <x:c r="K28" s="13"/>
      <x:c r="L28" s="13"/>
      <x:c r="M28" s="13"/>
      <x:c r="N28" s="13"/>
    </x:row>
    <x:row r="29">
      <x:c r="A29" s="42" t="str">
        <x:v>Trichy</x:v>
      </x:c>
      <x:c r="B29" s="40" t="n">
        <x:f>Inputs!$E$11+(Inputs!$K$4-2020)/10*(Inputs!$F$11-Inputs!$E$11)</x:f>
        <x:v>3.035</x:v>
      </x:c>
      <x:c r="C29" s="83" t="n">
        <x:f>B29/$B$32</x:f>
        <x:v>0.12034099920697856</x:v>
      </x:c>
      <x:c r="D29" s="40" t="n">
        <x:f>C29*Inputs!$K$9</x:f>
        <x:v>2.5850450039651065</x:v>
      </x:c>
      <x:c r="E29" s="38" t="n">
        <x:f>D29*1000</x:f>
        <x:v>2585.0450039651064</x:v>
      </x:c>
      <x:c r="F29" s="40" t="n">
        <x:f>D29-B29</x:f>
        <x:v>-0.44995499603489364</x:v>
      </x:c>
      <x:c r="H29" s="13"/>
      <x:c r="I29" s="13"/>
      <x:c r="J29" s="13"/>
      <x:c r="K29" s="13"/>
      <x:c r="L29" s="13"/>
      <x:c r="M29" s="13"/>
      <x:c r="N29" s="13"/>
    </x:row>
    <x:row r="30">
      <x:c r="A30" s="42" t="str">
        <x:v>Vellore</x:v>
      </x:c>
      <x:c r="B30" s="40" t="n">
        <x:f>Inputs!$E$12+(Inputs!$K$4-2020)/10*(Inputs!$F$12-Inputs!$E$12)</x:f>
        <x:v>3.045</x:v>
      </x:c>
      <x:c r="C30" s="83" t="n">
        <x:f>B30/$B$32</x:f>
        <x:v>0.12073750991276762</x:v>
      </x:c>
      <x:c r="D30" s="40" t="n">
        <x:f>C30*Inputs!$K$9</x:f>
        <x:v>2.5935624504361616</x:v>
      </x:c>
      <x:c r="E30" s="38" t="n">
        <x:f>D30*1000</x:f>
        <x:v>2593.5624504361617</x:v>
      </x:c>
      <x:c r="F30" s="40" t="n">
        <x:f>D30-B30</x:f>
        <x:v>-0.4514375495638383</x:v>
      </x:c>
      <x:c r="H30" s="13"/>
      <x:c r="I30" s="13"/>
      <x:c r="J30" s="13"/>
      <x:c r="K30" s="13"/>
      <x:c r="L30" s="13"/>
      <x:c r="M30" s="13"/>
      <x:c r="N30" s="13"/>
    </x:row>
    <x:row r="31">
      <x:c r="A31" s="42" t="str">
        <x:v>Villupuram</x:v>
      </x:c>
      <x:c r="B31" s="40" t="n">
        <x:f>Inputs!$E$13+(Inputs!$K$4-2020)/10*(Inputs!$F$13-Inputs!$E$13)</x:f>
        <x:v>2.615</x:v>
      </x:c>
      <x:c r="C31" s="83" t="n">
        <x:f>B31/$B$32</x:f>
        <x:v>0.1036875495638382</x:v>
      </x:c>
      <x:c r="D31" s="40" t="n">
        <x:f>C31*Inputs!$K$9</x:f>
        <x:v>2.2273122521808086</x:v>
      </x:c>
      <x:c r="E31" s="38" t="n">
        <x:f>D31*1000</x:f>
        <x:v>2227.3122521808086</x:v>
      </x:c>
      <x:c r="F31" s="40" t="n">
        <x:f>D31-B31</x:f>
        <x:v>-0.3876877478191916</x:v>
      </x:c>
    </x:row>
    <x:row r="32">
      <x:c r="A32" s="43" t="str">
        <x:v>Total</x:v>
      </x:c>
      <x:c r="B32" s="89" t="n">
        <x:f>SUM(B23:B31)</x:f>
        <x:v>25.220000000000006</x:v>
      </x:c>
      <x:c r="C32" s="90" t="n">
        <x:f>SUM(C23:C31)</x:f>
        <x:v>0.9999999999999999</x:v>
      </x:c>
      <x:c r="D32" s="89" t="n">
        <x:f>SUM(D23:D31)</x:f>
        <x:v>21.480999999999995</x:v>
      </x:c>
      <x:c r="E32" s="91" t="n">
        <x:f>SUM(E23:E31)</x:f>
        <x:v>21480.999999999996</x:v>
      </x:c>
      <x:c r="F32" s="89" t="n">
        <x:f>SUM(F23:F31)</x:f>
        <x:v>-3.739000000000004</x:v>
      </x:c>
    </x:row>
  </x:sheetData>
  <x:mergeCells>
    <x:mergeCell ref="A1:N1"/>
    <x:mergeCell ref="A2:N2"/>
    <x:mergeCell ref="H24:N30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conditionalFormatting sqref="F9:F17">
    <x:cfRule type="expression" dxfId="1" priority="1">
      <x:formula>F9&lt;0</x:formula>
    </x:cfRule>
  </x:conditionalFormatting>
  <x:pageMargins left="0.7" right="0.7" top="0.75" bottom="0.75" header="0.3" footer="0.3"/>
  <x:drawing xmlns:r="http://schemas.openxmlformats.org/officeDocument/2006/relationships" r:id="R0555377e2718455e"/>
</x:worksheet>
</file>