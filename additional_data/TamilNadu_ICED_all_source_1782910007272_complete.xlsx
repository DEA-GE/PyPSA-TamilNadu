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d52d7343948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nfo" sheetId="1" r:id="Ra9863f69a6444550"/>
    <x:sheet xmlns:r="http://schemas.openxmlformats.org/officeDocument/2006/relationships" name="District Allocation" sheetId="2" r:id="R591f3a50f4104b65"/>
    <x:sheet xmlns:r="http://schemas.openxmlformats.org/officeDocument/2006/relationships" name="Allocation QC" sheetId="3" r:id="Rb4db21b39bdb4aa6"/>
    <x:sheet xmlns:r="http://schemas.openxmlformats.org/officeDocument/2006/relationships" name="Methodology" sheetId="4" r:id="R398f9c05bcab44de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56" formatCode="&quot;上午/下午 &quot;hh&quot;時&quot;mm&quot;分&quot;ss&quot;秒 &quot;"/>
    <x:numFmt numFmtId="200" formatCode="#,##0.00"/>
    <x:numFmt numFmtId="201" formatCode="0.000000%"/>
    <x:numFmt numFmtId="202" formatCode="#,##0.000000"/>
  </x:numFmts>
  <x:fonts count="5">
    <x:font>
      <x:sz val="12"/>
      <x:color theme="1"/>
      <x:name val="Calibri"/>
    </x:font>
    <x:font>
      <x:b/>
      <x:sz val="12"/>
      <x:color rgb="FFFFFFFF"/>
      <x:name val="Calibri"/>
    </x:font>
    <x:font>
      <x:b/>
      <x:sz val="16"/>
      <x:color rgb="FFFFFFFF"/>
      <x:name val="Calibri"/>
    </x:font>
    <x:font>
      <x:b/>
      <x:sz val="12"/>
      <x:color rgb="FF065F46"/>
      <x:name val="Calibri"/>
    </x:font>
    <x:font>
      <x:b/>
      <x:sz val="12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30">
    <x:xf numFmtId="0" fontId="0" fillId="0" borderId="0" xfId="0" applyNumberFormat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</x:cellXfs>
  <x:cellStyles count="1">
    <x:cellStyle name="Normal" xfId="0"/>
  </x:cellStyles>
  <x:dxfs count="4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1305198ce4797" /><Relationship Type="http://schemas.openxmlformats.org/officeDocument/2006/relationships/theme" Target="/xl/theme/theme1.xml" Id="R61bd0a7a6cba4bc3" /><Relationship Type="http://schemas.openxmlformats.org/officeDocument/2006/relationships/sheetMetadata" Target="/xl/metadata1.xml" Id="Re623d183a6424fa9" /><Relationship Type="http://schemas.openxmlformats.org/officeDocument/2006/relationships/sharedStrings" Target="/xl/sharedStrings.xml" Id="R6a61f00433eb4eb5" /><Relationship Type="http://schemas.openxmlformats.org/officeDocument/2006/relationships/worksheet" Target="/xl/worksheets/sheet1.xml" Id="Ra9863f69a6444550" /><Relationship Type="http://schemas.openxmlformats.org/officeDocument/2006/relationships/worksheet" Target="/xl/worksheets/sheet2.xml" Id="R591f3a50f4104b65" /><Relationship Type="http://schemas.openxmlformats.org/officeDocument/2006/relationships/worksheet" Target="/xl/worksheets/sheet3.xml" Id="Rb4db21b39bdb4aa6" /><Relationship Type="http://schemas.openxmlformats.org/officeDocument/2006/relationships/worksheet" Target="/xl/worksheets/sheet4.xml" Id="R398f9c05bcab44de" /></Relationships>
</file>

<file path=xl/tables/table1.xml><?xml version="1.0" encoding="utf-8"?>
<x:table xmlns:x="http://schemas.openxmlformats.org/spreadsheetml/2006/main" id="1" name="DistrictAllocationTable" displayName="DistrictAllocationTable" ref="A1:P508" headerRowCount="1" totalsRowCount="0" totalsRowShown="0">
  <x:tableColumns count="16">
    <x:tableColumn id="1" name="Original Row"/>
    <x:tableColumn id="2" name="Source"/>
    <x:tableColumn id="3" name="Commissioning Group"/>
    <x:tableColumn id="4" name="Name of Power Plant"/>
    <x:tableColumn id="5" name="State"/>
    <x:tableColumn id="6" name="Original District"/>
    <x:tableColumn id="7" name="Allocated District"/>
    <x:tableColumn id="8" name="Commissioning Date"/>
    <x:tableColumn id="9" name="Original Capacity (MW)"/>
    <x:tableColumn id="10" name="Allocation Share"/>
    <x:tableColumn id="11" name="Allocated Capacity (MW)"/>
    <x:tableColumn id="12" name="Implementing Agency"/>
    <x:tableColumn id="13" name="Allocation Method"/>
    <x:tableColumn id="14" name="Source URL"/>
    <x:tableColumn id="15" name="Confidence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ocationQCTable" displayName="AllocationQCTable" ref="A1:G322" headerRowCount="1" totalsRowCount="0" totalsRowShown="0">
  <x:tableColumns count="7">
    <x:tableColumn id="1" name="Original Row"/>
    <x:tableColumn id="2" name="Source"/>
    <x:tableColumn id="3" name="Name of Power Plant"/>
    <x:tableColumn id="4" name="Original Capacity (MW)"/>
    <x:tableColumn id="5" name="Allocated Capacity (MW)"/>
    <x:tableColumn id="6" name="Difference (MW)"/>
    <x:tableColumn id="7" name="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d5d1838ea946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c0c334f1e24209" /></Relationships>
</file>

<file path=xl/worksheets/sheet1.xml><?xml version="1.0" encoding="utf-8"?>
<x:worksheet xmlns:x="http://schemas.openxmlformats.org/spreadsheetml/2006/main">
  <x:sheetData>
    <x:row r="1">
      <x:c r="A1" t="str">
        <x:v>Source</x:v>
      </x:c>
      <x:c r="B1" t="str">
        <x:v>Commissioning Group</x:v>
      </x:c>
      <x:c r="C1" t="str">
        <x:v>Name of Power Plant</x:v>
      </x:c>
      <x:c r="D1" t="str">
        <x:v>State</x:v>
      </x:c>
      <x:c r="E1" t="str">
        <x:v>District</x:v>
      </x:c>
      <x:c r="F1" t="str">
        <x:v>Commissioning Date</x:v>
      </x:c>
      <x:c r="G1" t="str">
        <x:v>Capacity (MW)</x:v>
      </x:c>
      <x:c r="H1" t="str">
        <x:v>Implementing Agency</x:v>
      </x:c>
    </x:row>
    <x:row r="2">
      <x:c r="A2" t="str">
        <x:v>Coal</x:v>
      </x:c>
      <x:c r="B2" t="str">
        <x:v>pipeline</x:v>
      </x:c>
      <x:c r="C2" t="str">
        <x:v>Ennore SEZ Expansion SCTPP</x:v>
      </x:c>
      <x:c r="D2" t="str">
        <x:v>Tamil Nadu</x:v>
      </x:c>
      <x:c r="E2" t="str">
        <x:v>Tiruvallur</x:v>
      </x:c>
      <x:c r="F2" t="str">
        <x:v>2027-03-01</x:v>
      </x:c>
      <x:c r="G2">
        <x:v>660</x:v>
      </x:c>
      <x:c r="H2" t="str">
        <x:v>Tamil Nadu Generation &amp; Distribution Corp. Ltd. (TANGEDCO)</x:v>
      </x:c>
    </x:row>
    <x:row r="3">
      <x:c r="A3" t="str">
        <x:v>Coal</x:v>
      </x:c>
      <x:c r="B3" t="str">
        <x:v>pipeline</x:v>
      </x:c>
      <x:c r="C3" t="str">
        <x:v>Ennore SEZ Expansion SCTPP</x:v>
      </x:c>
      <x:c r="D3" t="str">
        <x:v>Tamil Nadu</x:v>
      </x:c>
      <x:c r="E3" t="str">
        <x:v>Tiruvallur</x:v>
      </x:c>
      <x:c r="F3" t="str">
        <x:v>2027-05-01</x:v>
      </x:c>
      <x:c r="G3">
        <x:v>660</x:v>
      </x:c>
      <x:c r="H3" t="str">
        <x:v>Tamil Nadu Generation &amp; Distribution Corp. Ltd. (TANGEDCO)</x:v>
      </x:c>
    </x:row>
    <x:row r="4">
      <x:c r="A4" t="str">
        <x:v>Coal</x:v>
      </x:c>
      <x:c r="B4" t="str">
        <x:v>retired</x:v>
      </x:c>
      <x:c r="C4" t="str">
        <x:v>Ennore TPS</x:v>
      </x:c>
      <x:c r="D4" t="str">
        <x:v>Tamil Nadu</x:v>
      </x:c>
      <x:c r="E4" t="str">
        <x:v>Thiruvallur</x:v>
      </x:c>
      <x:c r="F4" t="str">
        <x:v>1970-03-01</x:v>
      </x:c>
      <x:c r="G4">
        <x:v>60</x:v>
      </x:c>
      <x:c r="H4" t="str">
        <x:v>Tamil Nadu Generation &amp; Distribution Corp. Ltd. (TANGEDCO)</x:v>
      </x:c>
    </x:row>
    <x:row r="5">
      <x:c r="A5" t="str">
        <x:v>Coal</x:v>
      </x:c>
      <x:c r="B5" t="str">
        <x:v>retired</x:v>
      </x:c>
      <x:c r="C5" t="str">
        <x:v>Ennore TPS</x:v>
      </x:c>
      <x:c r="D5" t="str">
        <x:v>Tamil Nadu</x:v>
      </x:c>
      <x:c r="E5" t="str">
        <x:v>Thiruvallur</x:v>
      </x:c>
      <x:c r="F5" t="str">
        <x:v>1971-02-01</x:v>
      </x:c>
      <x:c r="G5">
        <x:v>60</x:v>
      </x:c>
      <x:c r="H5" t="str">
        <x:v>Tamil Nadu Generation &amp; Distribution Corp. Ltd. (TANGEDCO)</x:v>
      </x:c>
    </x:row>
    <x:row r="6">
      <x:c r="A6" t="str">
        <x:v>Coal</x:v>
      </x:c>
      <x:c r="B6" t="str">
        <x:v>retired</x:v>
      </x:c>
      <x:c r="C6" t="str">
        <x:v>Ennore TPS</x:v>
      </x:c>
      <x:c r="D6" t="str">
        <x:v>Tamil Nadu</x:v>
      </x:c>
      <x:c r="E6" t="str">
        <x:v>Thiruvallur</x:v>
      </x:c>
      <x:c r="F6" t="str">
        <x:v>1972-05-01</x:v>
      </x:c>
      <x:c r="G6">
        <x:v>110</x:v>
      </x:c>
      <x:c r="H6" t="str">
        <x:v>Tamil Nadu Generation &amp; Distribution Corp. Ltd. (TANGEDCO)</x:v>
      </x:c>
    </x:row>
    <x:row r="7">
      <x:c r="A7" t="str">
        <x:v>Coal</x:v>
      </x:c>
      <x:c r="B7" t="str">
        <x:v>retired</x:v>
      </x:c>
      <x:c r="C7" t="str">
        <x:v>Ennore TPS</x:v>
      </x:c>
      <x:c r="D7" t="str">
        <x:v>Tamil Nadu</x:v>
      </x:c>
      <x:c r="E7" t="str">
        <x:v>Thiruvallur</x:v>
      </x:c>
      <x:c r="F7" t="str">
        <x:v>1973-05-01</x:v>
      </x:c>
      <x:c r="G7">
        <x:v>110</x:v>
      </x:c>
      <x:c r="H7" t="str">
        <x:v>Tamil Nadu Generation &amp; Distribution Corp. Ltd. (TANGEDCO)</x:v>
      </x:c>
    </x:row>
    <x:row r="8">
      <x:c r="A8" t="str">
        <x:v>Coal</x:v>
      </x:c>
      <x:c r="B8" t="str">
        <x:v>retired</x:v>
      </x:c>
      <x:c r="C8" t="str">
        <x:v>Ennore TPS</x:v>
      </x:c>
      <x:c r="D8" t="str">
        <x:v>Tamil Nadu</x:v>
      </x:c>
      <x:c r="E8" t="str">
        <x:v>Thiruvallur</x:v>
      </x:c>
      <x:c r="F8" t="str">
        <x:v>1975-12-01</x:v>
      </x:c>
      <x:c r="G8">
        <x:v>110</x:v>
      </x:c>
      <x:c r="H8" t="str">
        <x:v>Tamil Nadu Generation &amp; Distribution Corp. Ltd. (TANGEDCO)</x:v>
      </x:c>
    </x:row>
    <x:row r="9">
      <x:c r="A9" t="str">
        <x:v>Coal</x:v>
      </x:c>
      <x:c r="B9" t="str">
        <x:v>operational</x:v>
      </x:c>
      <x:c r="C9" t="str">
        <x:v>ITPCL or Cuddalore TPP</x:v>
      </x:c>
      <x:c r="D9" t="str">
        <x:v>Tamil Nadu</x:v>
      </x:c>
      <x:c r="E9" t="str">
        <x:v>Cuddalore</x:v>
      </x:c>
      <x:c r="F9" t="str">
        <x:v>2015-09-01</x:v>
      </x:c>
      <x:c r="G9">
        <x:v>600</x:v>
      </x:c>
      <x:c r="H9" t="str">
        <x:v>IL&amp;FS Tamil Nadu Power Co. Ltd.</x:v>
      </x:c>
    </x:row>
    <x:row r="10">
      <x:c r="A10" t="str">
        <x:v>Coal</x:v>
      </x:c>
      <x:c r="B10" t="str">
        <x:v>operational</x:v>
      </x:c>
      <x:c r="C10" t="str">
        <x:v>ITPCL or Cuddalore TPP</x:v>
      </x:c>
      <x:c r="D10" t="str">
        <x:v>Tamil Nadu</x:v>
      </x:c>
      <x:c r="E10" t="str">
        <x:v>Cuddalore</x:v>
      </x:c>
      <x:c r="F10" t="str">
        <x:v>2016-04-01</x:v>
      </x:c>
      <x:c r="G10">
        <x:v>600</x:v>
      </x:c>
      <x:c r="H10" t="str">
        <x:v>IL&amp;FS Tamil Nadu Power Co. Ltd.</x:v>
      </x:c>
    </x:row>
    <x:row r="11">
      <x:c r="A11" t="str">
        <x:v>Coal</x:v>
      </x:c>
      <x:c r="B11" t="str">
        <x:v>operational</x:v>
      </x:c>
      <x:c r="C11" t="str">
        <x:v>Mettur TPS</x:v>
      </x:c>
      <x:c r="D11" t="str">
        <x:v>Tamil Nadu</x:v>
      </x:c>
      <x:c r="E11" t="str">
        <x:v>Salem</x:v>
      </x:c>
      <x:c r="F11" t="str">
        <x:v>1987-01-07</x:v>
      </x:c>
      <x:c r="G11">
        <x:v>210</x:v>
      </x:c>
      <x:c r="H11" t="str">
        <x:v>Tamil Nadu Generation &amp; Distribution Corp. Ltd. (TANGEDCO)</x:v>
      </x:c>
    </x:row>
    <x:row r="12">
      <x:c r="A12" t="str">
        <x:v>Coal</x:v>
      </x:c>
      <x:c r="B12" t="str">
        <x:v>operational</x:v>
      </x:c>
      <x:c r="C12" t="str">
        <x:v>Mettur TPS</x:v>
      </x:c>
      <x:c r="D12" t="str">
        <x:v>Tamil Nadu</x:v>
      </x:c>
      <x:c r="E12" t="str">
        <x:v>Salem</x:v>
      </x:c>
      <x:c r="F12" t="str">
        <x:v>1987-01-12</x:v>
      </x:c>
      <x:c r="G12">
        <x:v>210</x:v>
      </x:c>
      <x:c r="H12" t="str">
        <x:v>Tamil Nadu Generation &amp; Distribution Corp. Ltd. (TANGEDCO)</x:v>
      </x:c>
    </x:row>
    <x:row r="13">
      <x:c r="A13" t="str">
        <x:v>Coal</x:v>
      </x:c>
      <x:c r="B13" t="str">
        <x:v>operational</x:v>
      </x:c>
      <x:c r="C13" t="str">
        <x:v>Mettur TPS</x:v>
      </x:c>
      <x:c r="D13" t="str">
        <x:v>Tamil Nadu</x:v>
      </x:c>
      <x:c r="E13" t="str">
        <x:v>Salem</x:v>
      </x:c>
      <x:c r="F13" t="str">
        <x:v>1989-03-22</x:v>
      </x:c>
      <x:c r="G13">
        <x:v>210</x:v>
      </x:c>
      <x:c r="H13" t="str">
        <x:v>Tamil Nadu Generation &amp; Distribution Corp. Ltd. (TANGEDCO)</x:v>
      </x:c>
    </x:row>
    <x:row r="14">
      <x:c r="A14" t="str">
        <x:v>Coal</x:v>
      </x:c>
      <x:c r="B14" t="str">
        <x:v>operational</x:v>
      </x:c>
      <x:c r="C14" t="str">
        <x:v>Mettur TPS</x:v>
      </x:c>
      <x:c r="D14" t="str">
        <x:v>Tamil Nadu</x:v>
      </x:c>
      <x:c r="E14" t="str">
        <x:v>Salem</x:v>
      </x:c>
      <x:c r="F14" t="str">
        <x:v>1990-03-27</x:v>
      </x:c>
      <x:c r="G14">
        <x:v>210</x:v>
      </x:c>
      <x:c r="H14" t="str">
        <x:v>Tamil Nadu Generation &amp; Distribution Corp. Ltd. (TANGEDCO)</x:v>
      </x:c>
    </x:row>
    <x:row r="15">
      <x:c r="A15" t="str">
        <x:v>Coal</x:v>
      </x:c>
      <x:c r="B15" t="str">
        <x:v>operational</x:v>
      </x:c>
      <x:c r="C15" t="str">
        <x:v>Mettur TPS</x:v>
      </x:c>
      <x:c r="D15" t="str">
        <x:v>Tamil Nadu</x:v>
      </x:c>
      <x:c r="E15" t="str">
        <x:v>Salem</x:v>
      </x:c>
      <x:c r="F15" t="str">
        <x:v>2012-10-11</x:v>
      </x:c>
      <x:c r="G15">
        <x:v>600</x:v>
      </x:c>
      <x:c r="H15" t="str">
        <x:v>Tamil Nadu Generation &amp; Distribution Corp. Ltd. (TANGEDCO)</x:v>
      </x:c>
    </x:row>
    <x:row r="16">
      <x:c r="A16" t="str">
        <x:v>Coal</x:v>
      </x:c>
      <x:c r="B16" t="str">
        <x:v>operational</x:v>
      </x:c>
      <x:c r="C16" t="str">
        <x:v>Muthiara TPP</x:v>
      </x:c>
      <x:c r="D16" t="str">
        <x:v>Tamil Nadu</x:v>
      </x:c>
      <x:c r="E16" t="str">
        <x:v>Thoothukudi</x:v>
      </x:c>
      <x:c r="F16" t="str">
        <x:v>2014-12-02</x:v>
      </x:c>
      <x:c r="G16">
        <x:v>600</x:v>
      </x:c>
      <x:c r="H16" t="str">
        <x:v>Coastal Energen Pvt. Ltd. (CEPL)</x:v>
      </x:c>
    </x:row>
    <x:row r="17">
      <x:c r="A17" t="str">
        <x:v>Coal</x:v>
      </x:c>
      <x:c r="B17" t="str">
        <x:v>operational</x:v>
      </x:c>
      <x:c r="C17" t="str">
        <x:v>Muthiara TPP</x:v>
      </x:c>
      <x:c r="D17" t="str">
        <x:v>Tamil Nadu</x:v>
      </x:c>
      <x:c r="E17" t="str">
        <x:v>Thoothukudi</x:v>
      </x:c>
      <x:c r="F17" t="str">
        <x:v>2016-01-02</x:v>
      </x:c>
      <x:c r="G17">
        <x:v>600</x:v>
      </x:c>
      <x:c r="H17" t="str">
        <x:v>Coastal Energen Pvt. Ltd. (CEPL)</x:v>
      </x:c>
    </x:row>
    <x:row r="18">
      <x:c r="A18" t="str">
        <x:v>Coal</x:v>
      </x:c>
      <x:c r="B18" t="str">
        <x:v>operational</x:v>
      </x:c>
      <x:c r="C18" t="str">
        <x:v>Neyveli (EXT) TPS I</x:v>
      </x:c>
      <x:c r="D18" t="str">
        <x:v>Tamil Nadu</x:v>
      </x:c>
      <x:c r="E18" t="str">
        <x:v>Cuddalore</x:v>
      </x:c>
      <x:c r="F18" t="str">
        <x:v>2002-10-01</x:v>
      </x:c>
      <x:c r="G18">
        <x:v>210</x:v>
      </x:c>
      <x:c r="H18" t="str">
        <x:v>NLC India Limited (formerly Neyveli Lignite Corp. Ltd.)</x:v>
      </x:c>
    </x:row>
    <x:row r="19">
      <x:c r="A19" t="str">
        <x:v>Coal</x:v>
      </x:c>
      <x:c r="B19" t="str">
        <x:v>operational</x:v>
      </x:c>
      <x:c r="C19" t="str">
        <x:v>Neyveli (EXT) TPS I</x:v>
      </x:c>
      <x:c r="D19" t="str">
        <x:v>Tamil Nadu</x:v>
      </x:c>
      <x:c r="E19" t="str">
        <x:v>Cuddalore</x:v>
      </x:c>
      <x:c r="F19" t="str">
        <x:v>2003-07-01</x:v>
      </x:c>
      <x:c r="G19">
        <x:v>210</x:v>
      </x:c>
      <x:c r="H19" t="str">
        <x:v>NLC India Limited (formerly Neyveli Lignite Corp. Ltd.)</x:v>
      </x:c>
    </x:row>
    <x:row r="20">
      <x:c r="A20" t="str">
        <x:v>Coal</x:v>
      </x:c>
      <x:c r="B20" t="str">
        <x:v>operational</x:v>
      </x:c>
      <x:c r="C20" t="str">
        <x:v>Neyveli (EXT) TPS II</x:v>
      </x:c>
      <x:c r="D20" t="str">
        <x:v>Tamil Nadu</x:v>
      </x:c>
      <x:c r="E20" t="str">
        <x:v>Cuddalore</x:v>
      </x:c>
      <x:c r="F20" t="str">
        <x:v>2012-02-04</x:v>
      </x:c>
      <x:c r="G20">
        <x:v>250</x:v>
      </x:c>
      <x:c r="H20" t="str">
        <x:v>NLC India Limited (formerly Neyveli Lignite Corp. Ltd.)</x:v>
      </x:c>
    </x:row>
    <x:row r="21">
      <x:c r="A21" t="str">
        <x:v>Coal</x:v>
      </x:c>
      <x:c r="B21" t="str">
        <x:v>operational</x:v>
      </x:c>
      <x:c r="C21" t="str">
        <x:v>Neyveli (EXT) TPS II</x:v>
      </x:c>
      <x:c r="D21" t="str">
        <x:v>Tamil Nadu</x:v>
      </x:c>
      <x:c r="E21" t="str">
        <x:v>Cuddalore</x:v>
      </x:c>
      <x:c r="F21" t="str">
        <x:v>2015-01-24</x:v>
      </x:c>
      <x:c r="G21">
        <x:v>250</x:v>
      </x:c>
      <x:c r="H21" t="str">
        <x:v>NLC India Limited (formerly Neyveli Lignite Corp. Ltd.)</x:v>
      </x:c>
    </x:row>
    <x:row r="22">
      <x:c r="A22" t="str">
        <x:v>Coal</x:v>
      </x:c>
      <x:c r="B22" t="str">
        <x:v>operational</x:v>
      </x:c>
      <x:c r="C22" t="str">
        <x:v>Neyveli (New) TPP /Neyveli Extension</x:v>
      </x:c>
      <x:c r="D22" t="str">
        <x:v>Tamil Nadu</x:v>
      </x:c>
      <x:c r="E22" t="str">
        <x:v>Cuddalore</x:v>
      </x:c>
      <x:c r="F22" t="str">
        <x:v>2019-12-01</x:v>
      </x:c>
      <x:c r="G22">
        <x:v>500</x:v>
      </x:c>
      <x:c r="H22" t="str">
        <x:v>NLC India Limited (formerly Neyveli Lignite Corp. Ltd.)</x:v>
      </x:c>
    </x:row>
    <x:row r="23">
      <x:c r="A23" t="str">
        <x:v>Coal</x:v>
      </x:c>
      <x:c r="B23" t="str">
        <x:v>operational</x:v>
      </x:c>
      <x:c r="C23" t="str">
        <x:v>Neyveli (New) TPP /Neyveli Extension</x:v>
      </x:c>
      <x:c r="D23" t="str">
        <x:v>Tamil Nadu</x:v>
      </x:c>
      <x:c r="E23" t="str">
        <x:v>Cuddalore</x:v>
      </x:c>
      <x:c r="F23" t="str">
        <x:v>2021-02-01</x:v>
      </x:c>
      <x:c r="G23">
        <x:v>500</x:v>
      </x:c>
      <x:c r="H23" t="str">
        <x:v>NLC India Limited (formerly Neyveli Lignite Corp. Ltd.)</x:v>
      </x:c>
    </x:row>
    <x:row r="24">
      <x:c r="A24" t="str">
        <x:v>Coal</x:v>
      </x:c>
      <x:c r="B24" t="str">
        <x:v>operational</x:v>
      </x:c>
      <x:c r="C24" t="str">
        <x:v>Neyveli TPS (Z)</x:v>
      </x:c>
      <x:c r="D24" t="str">
        <x:v>Tamil Nadu</x:v>
      </x:c>
      <x:c r="E24" t="str">
        <x:v>Cuddalore</x:v>
      </x:c>
      <x:c r="F24" t="str">
        <x:v>2002-10-01</x:v>
      </x:c>
      <x:c r="G24">
        <x:v>250</x:v>
      </x:c>
      <x:c r="H24" t="str">
        <x:v>ST-CMS Electric Company Pvt. Ltd.</x:v>
      </x:c>
    </x:row>
    <x:row r="25">
      <x:c r="A25" t="str">
        <x:v>Coal</x:v>
      </x:c>
      <x:c r="B25" t="str">
        <x:v>retired</x:v>
      </x:c>
      <x:c r="C25" t="str">
        <x:v>Neyveli TPS I</x:v>
      </x:c>
      <x:c r="D25" t="str">
        <x:v>Tamil Nadu</x:v>
      </x:c>
      <x:c r="E25" t="str">
        <x:v>Cuddalore</x:v>
      </x:c>
      <x:c r="F25" t="str">
        <x:v>1962-05-01</x:v>
      </x:c>
      <x:c r="G25">
        <x:v>50</x:v>
      </x:c>
      <x:c r="H25" t="str">
        <x:v>NLC India Limited (formerly Neyveli Lignite Corp. Ltd.)</x:v>
      </x:c>
    </x:row>
    <x:row r="26">
      <x:c r="A26" t="str">
        <x:v>Coal</x:v>
      </x:c>
      <x:c r="B26" t="str">
        <x:v>retired</x:v>
      </x:c>
      <x:c r="C26" t="str">
        <x:v>Neyveli TPS I</x:v>
      </x:c>
      <x:c r="D26" t="str">
        <x:v>Tamil Nadu</x:v>
      </x:c>
      <x:c r="E26" t="str">
        <x:v>Cuddalore</x:v>
      </x:c>
      <x:c r="F26" t="str">
        <x:v>1963-01-01</x:v>
      </x:c>
      <x:c r="G26">
        <x:v>50</x:v>
      </x:c>
      <x:c r="H26" t="str">
        <x:v>NLC India Limited (formerly Neyveli Lignite Corp. Ltd.)</x:v>
      </x:c>
    </x:row>
    <x:row r="27">
      <x:c r="A27" t="str">
        <x:v>Coal</x:v>
      </x:c>
      <x:c r="B27" t="str">
        <x:v>retired</x:v>
      </x:c>
      <x:c r="C27" t="str">
        <x:v>Neyveli TPS I</x:v>
      </x:c>
      <x:c r="D27" t="str">
        <x:v>Tamil Nadu</x:v>
      </x:c>
      <x:c r="E27" t="str">
        <x:v>Cuddalore</x:v>
      </x:c>
      <x:c r="F27" t="str">
        <x:v>1963-06-01</x:v>
      </x:c>
      <x:c r="G27">
        <x:v>50</x:v>
      </x:c>
      <x:c r="H27" t="str">
        <x:v>NLC India Limited (formerly Neyveli Lignite Corp. Ltd.)</x:v>
      </x:c>
    </x:row>
    <x:row r="28">
      <x:c r="A28" t="str">
        <x:v>Coal</x:v>
      </x:c>
      <x:c r="B28" t="str">
        <x:v>retired</x:v>
      </x:c>
      <x:c r="C28" t="str">
        <x:v>Neyveli TPS I</x:v>
      </x:c>
      <x:c r="D28" t="str">
        <x:v>Tamil Nadu</x:v>
      </x:c>
      <x:c r="E28" t="str">
        <x:v>Cuddalore</x:v>
      </x:c>
      <x:c r="F28" t="str">
        <x:v>1963-10-01</x:v>
      </x:c>
      <x:c r="G28">
        <x:v>50</x:v>
      </x:c>
      <x:c r="H28" t="str">
        <x:v>NLC India Limited (formerly Neyveli Lignite Corp. Ltd.)</x:v>
      </x:c>
    </x:row>
    <x:row r="29">
      <x:c r="A29" t="str">
        <x:v>Coal</x:v>
      </x:c>
      <x:c r="B29" t="str">
        <x:v>retired</x:v>
      </x:c>
      <x:c r="C29" t="str">
        <x:v>Neyveli TPS I</x:v>
      </x:c>
      <x:c r="D29" t="str">
        <x:v>Tamil Nadu</x:v>
      </x:c>
      <x:c r="E29" t="str">
        <x:v>Cuddalore</x:v>
      </x:c>
      <x:c r="F29" t="str">
        <x:v>1964-04-01</x:v>
      </x:c>
      <x:c r="G29">
        <x:v>50</x:v>
      </x:c>
      <x:c r="H29" t="str">
        <x:v>NLC India Limited (formerly Neyveli Lignite Corp. Ltd.)</x:v>
      </x:c>
    </x:row>
    <x:row r="30">
      <x:c r="A30" t="str">
        <x:v>Coal</x:v>
      </x:c>
      <x:c r="B30" t="str">
        <x:v>retired</x:v>
      </x:c>
      <x:c r="C30" t="str">
        <x:v>Neyveli TPS I</x:v>
      </x:c>
      <x:c r="D30" t="str">
        <x:v>Tamil Nadu</x:v>
      </x:c>
      <x:c r="E30" t="str">
        <x:v>Cuddalore</x:v>
      </x:c>
      <x:c r="F30" t="str">
        <x:v>1965-08-01</x:v>
      </x:c>
      <x:c r="G30">
        <x:v>50</x:v>
      </x:c>
      <x:c r="H30" t="str">
        <x:v>NLC India Limited (formerly Neyveli Lignite Corp. Ltd.)</x:v>
      </x:c>
    </x:row>
    <x:row r="31">
      <x:c r="A31" t="str">
        <x:v>Coal</x:v>
      </x:c>
      <x:c r="B31" t="str">
        <x:v>retired</x:v>
      </x:c>
      <x:c r="C31" t="str">
        <x:v>Neyveli TPS I</x:v>
      </x:c>
      <x:c r="D31" t="str">
        <x:v>Tamil Nadu</x:v>
      </x:c>
      <x:c r="E31" t="str">
        <x:v>Cuddalore</x:v>
      </x:c>
      <x:c r="F31" t="str">
        <x:v>1967-03-01</x:v>
      </x:c>
      <x:c r="G31">
        <x:v>100</x:v>
      </x:c>
      <x:c r="H31" t="str">
        <x:v>NLC India Limited (formerly Neyveli Lignite Corp. Ltd.)</x:v>
      </x:c>
    </x:row>
    <x:row r="32">
      <x:c r="A32" t="str">
        <x:v>Coal</x:v>
      </x:c>
      <x:c r="B32" t="str">
        <x:v>retired</x:v>
      </x:c>
      <x:c r="C32" t="str">
        <x:v>Neyveli TPS I</x:v>
      </x:c>
      <x:c r="D32" t="str">
        <x:v>Tamil Nadu</x:v>
      </x:c>
      <x:c r="E32" t="str">
        <x:v>Cuddalore</x:v>
      </x:c>
      <x:c r="F32" t="str">
        <x:v>1969-02-01</x:v>
      </x:c>
      <x:c r="G32">
        <x:v>100</x:v>
      </x:c>
      <x:c r="H32" t="str">
        <x:v>NLC India Limited (formerly Neyveli Lignite Corp. Ltd.)</x:v>
      </x:c>
    </x:row>
    <x:row r="33">
      <x:c r="A33" t="str">
        <x:v>Coal</x:v>
      </x:c>
      <x:c r="B33" t="str">
        <x:v>retired</x:v>
      </x:c>
      <x:c r="C33" t="str">
        <x:v>Neyveli TPS I</x:v>
      </x:c>
      <x:c r="D33" t="str">
        <x:v>Tamil Nadu</x:v>
      </x:c>
      <x:c r="E33" t="str">
        <x:v>Cuddalore</x:v>
      </x:c>
      <x:c r="F33" t="str">
        <x:v>1970-02-01</x:v>
      </x:c>
      <x:c r="G33">
        <x:v>100</x:v>
      </x:c>
      <x:c r="H33" t="str">
        <x:v>NLC India Limited (formerly Neyveli Lignite Corp. Ltd.)</x:v>
      </x:c>
    </x:row>
    <x:row r="34">
      <x:c r="A34" t="str">
        <x:v>Coal</x:v>
      </x:c>
      <x:c r="B34" t="str">
        <x:v>operational</x:v>
      </x:c>
      <x:c r="C34" t="str">
        <x:v>Neyveli TPS II</x:v>
      </x:c>
      <x:c r="D34" t="str">
        <x:v>Tamil Nadu</x:v>
      </x:c>
      <x:c r="E34" t="str">
        <x:v>Cuddalore</x:v>
      </x:c>
      <x:c r="F34" t="str">
        <x:v>1988-01-01</x:v>
      </x:c>
      <x:c r="G34">
        <x:v>210</x:v>
      </x:c>
      <x:c r="H34" t="str">
        <x:v>NLC India Limited (formerly Neyveli Lignite Corp. Ltd.)</x:v>
      </x:c>
    </x:row>
    <x:row r="35">
      <x:c r="A35" t="str">
        <x:v>Coal</x:v>
      </x:c>
      <x:c r="B35" t="str">
        <x:v>operational</x:v>
      </x:c>
      <x:c r="C35" t="str">
        <x:v>Neyveli TPS II</x:v>
      </x:c>
      <x:c r="D35" t="str">
        <x:v>Tamil Nadu</x:v>
      </x:c>
      <x:c r="E35" t="str">
        <x:v>Cuddalore</x:v>
      </x:c>
      <x:c r="F35" t="str">
        <x:v>1987-02-01</x:v>
      </x:c>
      <x:c r="G35">
        <x:v>210</x:v>
      </x:c>
      <x:c r="H35" t="str">
        <x:v>NLC India Limited (formerly Neyveli Lignite Corp. Ltd.)</x:v>
      </x:c>
    </x:row>
    <x:row r="36">
      <x:c r="A36" t="str">
        <x:v>Coal</x:v>
      </x:c>
      <x:c r="B36" t="str">
        <x:v>operational</x:v>
      </x:c>
      <x:c r="C36" t="str">
        <x:v>Neyveli TPS II</x:v>
      </x:c>
      <x:c r="D36" t="str">
        <x:v>Tamil Nadu</x:v>
      </x:c>
      <x:c r="E36" t="str">
        <x:v>Cuddalore</x:v>
      </x:c>
      <x:c r="F36" t="str">
        <x:v>1986-03-01</x:v>
      </x:c>
      <x:c r="G36">
        <x:v>210</x:v>
      </x:c>
      <x:c r="H36" t="str">
        <x:v>NLC India Limited (formerly Neyveli Lignite Corp. Ltd.)</x:v>
      </x:c>
    </x:row>
    <x:row r="37">
      <x:c r="A37" t="str">
        <x:v>Coal</x:v>
      </x:c>
      <x:c r="B37" t="str">
        <x:v>operational</x:v>
      </x:c>
      <x:c r="C37" t="str">
        <x:v>Neyveli TPS II</x:v>
      </x:c>
      <x:c r="D37" t="str">
        <x:v>Tamil Nadu</x:v>
      </x:c>
      <x:c r="E37" t="str">
        <x:v>Cuddalore</x:v>
      </x:c>
      <x:c r="F37" t="str">
        <x:v>1991-03-01</x:v>
      </x:c>
      <x:c r="G37">
        <x:v>210</x:v>
      </x:c>
      <x:c r="H37" t="str">
        <x:v>NLC India Limited (formerly Neyveli Lignite Corp. Ltd.)</x:v>
      </x:c>
    </x:row>
    <x:row r="38">
      <x:c r="A38" t="str">
        <x:v>Coal</x:v>
      </x:c>
      <x:c r="B38" t="str">
        <x:v>operational</x:v>
      </x:c>
      <x:c r="C38" t="str">
        <x:v>Neyveli TPS II</x:v>
      </x:c>
      <x:c r="D38" t="str">
        <x:v>Tamil Nadu</x:v>
      </x:c>
      <x:c r="E38" t="str">
        <x:v>Cuddalore</x:v>
      </x:c>
      <x:c r="F38" t="str">
        <x:v>1991-12-01</x:v>
      </x:c>
      <x:c r="G38">
        <x:v>210</x:v>
      </x:c>
      <x:c r="H38" t="str">
        <x:v>NLC India Limited (formerly Neyveli Lignite Corp. Ltd.)</x:v>
      </x:c>
    </x:row>
    <x:row r="39">
      <x:c r="A39" t="str">
        <x:v>Coal</x:v>
      </x:c>
      <x:c r="B39" t="str">
        <x:v>operational</x:v>
      </x:c>
      <x:c r="C39" t="str">
        <x:v>Neyveli TPS II</x:v>
      </x:c>
      <x:c r="D39" t="str">
        <x:v>Tamil Nadu</x:v>
      </x:c>
      <x:c r="E39" t="str">
        <x:v>Cuddalore</x:v>
      </x:c>
      <x:c r="F39" t="str">
        <x:v>1992-10-01</x:v>
      </x:c>
      <x:c r="G39">
        <x:v>210</x:v>
      </x:c>
      <x:c r="H39" t="str">
        <x:v>NLC India Limited (formerly Neyveli Lignite Corp. Ltd.)</x:v>
      </x:c>
    </x:row>
    <x:row r="40">
      <x:c r="A40" t="str">
        <x:v>Coal</x:v>
      </x:c>
      <x:c r="B40" t="str">
        <x:v>operational</x:v>
      </x:c>
      <x:c r="C40" t="str">
        <x:v>Neyveli TPS II</x:v>
      </x:c>
      <x:c r="D40" t="str">
        <x:v>Tamil Nadu</x:v>
      </x:c>
      <x:c r="E40" t="str">
        <x:v>Cuddalore</x:v>
      </x:c>
      <x:c r="F40" t="str">
        <x:v>1993-06-01</x:v>
      </x:c>
      <x:c r="G40">
        <x:v>210</x:v>
      </x:c>
      <x:c r="H40" t="str">
        <x:v>NLC India Limited (formerly Neyveli Lignite Corp. Ltd.)</x:v>
      </x:c>
    </x:row>
    <x:row r="41">
      <x:c r="A41" t="str">
        <x:v>Coal</x:v>
      </x:c>
      <x:c r="B41" t="str">
        <x:v>operational</x:v>
      </x:c>
      <x:c r="C41" t="str">
        <x:v>North Chennai TPS</x:v>
      </x:c>
      <x:c r="D41" t="str">
        <x:v>Tamil Nadu</x:v>
      </x:c>
      <x:c r="E41" t="str">
        <x:v>Thiruvallur</x:v>
      </x:c>
      <x:c r="F41" t="str">
        <x:v>1994-10-01</x:v>
      </x:c>
      <x:c r="G41">
        <x:v>210</x:v>
      </x:c>
      <x:c r="H41" t="str">
        <x:v>Tamil Nadu Generation &amp; Distribution Corp. Ltd. (TANGEDCO)</x:v>
      </x:c>
    </x:row>
    <x:row r="42">
      <x:c r="A42" t="str">
        <x:v>Coal</x:v>
      </x:c>
      <x:c r="B42" t="str">
        <x:v>operational</x:v>
      </x:c>
      <x:c r="C42" t="str">
        <x:v>North Chennai TPS</x:v>
      </x:c>
      <x:c r="D42" t="str">
        <x:v>Tamil Nadu</x:v>
      </x:c>
      <x:c r="E42" t="str">
        <x:v>Thiruvallur</x:v>
      </x:c>
      <x:c r="F42" t="str">
        <x:v>1995-03-01</x:v>
      </x:c>
      <x:c r="G42">
        <x:v>210</x:v>
      </x:c>
      <x:c r="H42" t="str">
        <x:v>Tamil Nadu Generation &amp; Distribution Corp. Ltd. (TANGEDCO)</x:v>
      </x:c>
    </x:row>
    <x:row r="43">
      <x:c r="A43" t="str">
        <x:v>Coal</x:v>
      </x:c>
      <x:c r="B43" t="str">
        <x:v>operational</x:v>
      </x:c>
      <x:c r="C43" t="str">
        <x:v>North Chennai TPS</x:v>
      </x:c>
      <x:c r="D43" t="str">
        <x:v>Tamil Nadu</x:v>
      </x:c>
      <x:c r="E43" t="str">
        <x:v>Thiruvallur</x:v>
      </x:c>
      <x:c r="F43" t="str">
        <x:v>1996-02-01</x:v>
      </x:c>
      <x:c r="G43">
        <x:v>210</x:v>
      </x:c>
      <x:c r="H43" t="str">
        <x:v>Tamil Nadu Generation &amp; Distribution Corp. Ltd. (TANGEDCO)</x:v>
      </x:c>
    </x:row>
    <x:row r="44">
      <x:c r="A44" t="str">
        <x:v>Coal</x:v>
      </x:c>
      <x:c r="B44" t="str">
        <x:v>operational</x:v>
      </x:c>
      <x:c r="C44" t="str">
        <x:v>North Chennai TPS</x:v>
      </x:c>
      <x:c r="D44" t="str">
        <x:v>Tamil Nadu</x:v>
      </x:c>
      <x:c r="E44" t="str">
        <x:v>Thiruvallur</x:v>
      </x:c>
      <x:c r="F44" t="str">
        <x:v>2013-09-13</x:v>
      </x:c>
      <x:c r="G44">
        <x:v>600</x:v>
      </x:c>
      <x:c r="H44" t="str">
        <x:v>Tamil Nadu Generation &amp; Distribution Corp. Ltd. (TANGEDCO)</x:v>
      </x:c>
    </x:row>
    <x:row r="45">
      <x:c r="A45" t="str">
        <x:v>Coal</x:v>
      </x:c>
      <x:c r="B45" t="str">
        <x:v>operational</x:v>
      </x:c>
      <x:c r="C45" t="str">
        <x:v>North Chennai TPS</x:v>
      </x:c>
      <x:c r="D45" t="str">
        <x:v>Tamil Nadu</x:v>
      </x:c>
      <x:c r="E45" t="str">
        <x:v>Thiruvallur</x:v>
      </x:c>
      <x:c r="F45" t="str">
        <x:v>2013-03-09</x:v>
      </x:c>
      <x:c r="G45">
        <x:v>600</x:v>
      </x:c>
      <x:c r="H45" t="str">
        <x:v>Tamil Nadu Generation &amp; Distribution Corp. Ltd. (TANGEDCO)</x:v>
      </x:c>
    </x:row>
    <x:row r="46">
      <x:c r="A46" t="str">
        <x:v>Coal</x:v>
      </x:c>
      <x:c r="B46" t="str">
        <x:v>operational</x:v>
      </x:c>
      <x:c r="C46" t="str">
        <x:v>North Chennai TPS</x:v>
      </x:c>
      <x:c r="D46" t="str">
        <x:v>Tamil Nadu</x:v>
      </x:c>
      <x:c r="E46" t="str">
        <x:v>Thiruvallur</x:v>
      </x:c>
      <x:c r="F46" t="str">
        <x:v>2026-01-24</x:v>
      </x:c>
      <x:c r="G46">
        <x:v>800</x:v>
      </x:c>
      <x:c r="H46" t="str">
        <x:v>Tamil Nadu Generation &amp; Distribution Corp. Ltd. (TANGEDCO)</x:v>
      </x:c>
    </x:row>
    <x:row r="47">
      <x:c r="A47" t="str">
        <x:v>Coal</x:v>
      </x:c>
      <x:c r="B47" t="str">
        <x:v>operational</x:v>
      </x:c>
      <x:c r="C47" t="str">
        <x:v>OPG Power Generation Private Ltd.</x:v>
      </x:c>
      <x:c r="D47" t="str">
        <x:v>Tamil Nadu</x:v>
      </x:c>
      <x:c r="E47" t="str">
        <x:v>Thiruvallur</x:v>
      </x:c>
      <x:c r="F47" t="str">
        <x:v>2024-01-01</x:v>
      </x:c>
      <x:c r="G47">
        <x:v>77</x:v>
      </x:c>
      <x:c r="H47" t="str">
        <x:v>OPG Power Ventures Plc</x:v>
      </x:c>
    </x:row>
    <x:row r="48">
      <x:c r="A48" t="str">
        <x:v>Coal</x:v>
      </x:c>
      <x:c r="B48" t="str">
        <x:v>operational</x:v>
      </x:c>
      <x:c r="C48" t="str">
        <x:v>OPG Power Generation Private Ltd.</x:v>
      </x:c>
      <x:c r="D48" t="str">
        <x:v>Tamil Nadu</x:v>
      </x:c>
      <x:c r="E48" t="str">
        <x:v>Thiruvallur</x:v>
      </x:c>
      <x:c r="F48" t="str">
        <x:v>2024-01-01</x:v>
      </x:c>
      <x:c r="G48">
        <x:v>77</x:v>
      </x:c>
      <x:c r="H48" t="str">
        <x:v>OPG Power Ventures Plc</x:v>
      </x:c>
    </x:row>
    <x:row r="49">
      <x:c r="A49" t="str">
        <x:v>Coal</x:v>
      </x:c>
      <x:c r="B49" t="str">
        <x:v>operational</x:v>
      </x:c>
      <x:c r="C49" t="str">
        <x:v>OPG Power Generation Private Ltd.</x:v>
      </x:c>
      <x:c r="D49" t="str">
        <x:v>Tamil Nadu</x:v>
      </x:c>
      <x:c r="E49" t="str">
        <x:v>Thiruvallur</x:v>
      </x:c>
      <x:c r="F49" t="str">
        <x:v>2024-01-01</x:v>
      </x:c>
      <x:c r="G49">
        <x:v>80</x:v>
      </x:c>
      <x:c r="H49" t="str">
        <x:v>OPG Power Ventures Plc</x:v>
      </x:c>
    </x:row>
    <x:row r="50">
      <x:c r="A50" t="str">
        <x:v>Coal</x:v>
      </x:c>
      <x:c r="B50" t="str">
        <x:v>operational</x:v>
      </x:c>
      <x:c r="C50" t="str">
        <x:v>OPG Power Generation Private Ltd.</x:v>
      </x:c>
      <x:c r="D50" t="str">
        <x:v>Tamil Nadu</x:v>
      </x:c>
      <x:c r="E50" t="str">
        <x:v>Thiruvallur</x:v>
      </x:c>
      <x:c r="F50" t="str">
        <x:v>2024-01-01</x:v>
      </x:c>
      <x:c r="G50">
        <x:v>180</x:v>
      </x:c>
      <x:c r="H50" t="str">
        <x:v>OPG Power Ventures Plc</x:v>
      </x:c>
    </x:row>
    <x:row r="51">
      <x:c r="A51" t="str">
        <x:v>Coal</x:v>
      </x:c>
      <x:c r="B51" t="str">
        <x:v>operational</x:v>
      </x:c>
      <x:c r="C51" t="str">
        <x:v>TCP Limited</x:v>
      </x:c>
      <x:c r="D51" t="str">
        <x:v>Tamil Nadu</x:v>
      </x:c>
      <x:c r="E51" t="str">
        <x:v>Thiruvallur</x:v>
      </x:c>
      <x:c r="F51" t="str">
        <x:v>2024-12-23</x:v>
      </x:c>
      <x:c r="G51">
        <x:v>63.5</x:v>
      </x:c>
      <x:c r="H51" t="str">
        <x:v>TCP Limited</x:v>
      </x:c>
    </x:row>
    <x:row r="52">
      <x:c r="A52" t="str">
        <x:v>Coal</x:v>
      </x:c>
      <x:c r="B52" t="str">
        <x:v>operational</x:v>
      </x:c>
      <x:c r="C52" t="str">
        <x:v>Tulsyan NEC Limited</x:v>
      </x:c>
      <x:c r="D52" t="str">
        <x:v>Tamil Nadu</x:v>
      </x:c>
      <x:c r="E52" t="str">
        <x:v>Thiruvallur</x:v>
      </x:c>
      <x:c r="F52" t="str">
        <x:v>2026-03-01</x:v>
      </x:c>
      <x:c r="G52">
        <x:v>35</x:v>
      </x:c>
      <x:c r="H52" t="str">
        <x:v>Tulsyan NEC Limited</x:v>
      </x:c>
    </x:row>
    <x:row r="53">
      <x:c r="A53" t="str">
        <x:v>Coal</x:v>
      </x:c>
      <x:c r="B53" t="str">
        <x:v>operational</x:v>
      </x:c>
      <x:c r="C53" t="str">
        <x:v>Tulsyan NEC Limited</x:v>
      </x:c>
      <x:c r="D53" t="str">
        <x:v>Tamil Nadu</x:v>
      </x:c>
      <x:c r="E53" t="str">
        <x:v>Thiruvallur</x:v>
      </x:c>
      <x:c r="F53" t="str">
        <x:v>2026-03-01</x:v>
      </x:c>
      <x:c r="G53">
        <x:v>35</x:v>
      </x:c>
      <x:c r="H53" t="str">
        <x:v>Tulsyan NEC Limited</x:v>
      </x:c>
    </x:row>
    <x:row r="54">
      <x:c r="A54" t="str">
        <x:v>Coal</x:v>
      </x:c>
      <x:c r="B54" t="str">
        <x:v>operational</x:v>
      </x:c>
      <x:c r="C54" t="str">
        <x:v>Tuticorin (P) TPP</x:v>
      </x:c>
      <x:c r="D54" t="str">
        <x:v>Tamil Nadu</x:v>
      </x:c>
      <x:c r="E54" t="str">
        <x:v>Thoothukudi</x:v>
      </x:c>
      <x:c r="F54" t="str">
        <x:v>2013-01-31</x:v>
      </x:c>
      <x:c r="G54">
        <x:v>150</x:v>
      </x:c>
      <x:c r="H54" t="str">
        <x:v>Ind Barath Power Infra Limited (IBPIL)</x:v>
      </x:c>
    </x:row>
    <x:row r="55">
      <x:c r="A55" t="str">
        <x:v>Coal</x:v>
      </x:c>
      <x:c r="B55" t="str">
        <x:v>operational</x:v>
      </x:c>
      <x:c r="C55" t="str">
        <x:v>Tuticorin (P) TPP</x:v>
      </x:c>
      <x:c r="D55" t="str">
        <x:v>Tamil Nadu</x:v>
      </x:c>
      <x:c r="E55" t="str">
        <x:v>Thoothukudi</x:v>
      </x:c>
      <x:c r="F55" t="str">
        <x:v>2013-12-30</x:v>
      </x:c>
      <x:c r="G55">
        <x:v>150</x:v>
      </x:c>
      <x:c r="H55" t="str">
        <x:v>Ind Barath Power Infra Limited (IBPIL)</x:v>
      </x:c>
    </x:row>
    <x:row r="56">
      <x:c r="A56" t="str">
        <x:v>Coal</x:v>
      </x:c>
      <x:c r="B56" t="str">
        <x:v>pipeline</x:v>
      </x:c>
      <x:c r="C56" t="str">
        <x:v>Tuticorin (P) TPP</x:v>
      </x:c>
      <x:c r="D56" t="str">
        <x:v>Tamil Nadu</x:v>
      </x:c>
      <x:c r="E56" t="str">
        <x:v>Thoothukudi</x:v>
      </x:c>
      <x:c r="F56" t="str">
        <x:v>Uncertain</x:v>
      </x:c>
      <x:c r="G56">
        <x:v>660</x:v>
      </x:c>
      <x:c r="H56" t="str">
        <x:v>Ind Barath Power Infra Limited (IBPIL)</x:v>
      </x:c>
    </x:row>
    <x:row r="57">
      <x:c r="A57" t="str">
        <x:v>Coal</x:v>
      </x:c>
      <x:c r="B57" t="str">
        <x:v>operational</x:v>
      </x:c>
      <x:c r="C57" t="str">
        <x:v>Tuticorin Joint Venture</x:v>
      </x:c>
      <x:c r="D57" t="str">
        <x:v>Tamil Nadu</x:v>
      </x:c>
      <x:c r="E57" t="str">
        <x:v>Thoothukudi</x:v>
      </x:c>
      <x:c r="F57" t="str">
        <x:v>2015-03-10</x:v>
      </x:c>
      <x:c r="G57">
        <x:v>500</x:v>
      </x:c>
      <x:c r="H57" t="str">
        <x:v>NTPL (Joint Venture -NLC and TANGEDCO)</x:v>
      </x:c>
    </x:row>
    <x:row r="58">
      <x:c r="A58" t="str">
        <x:v>Coal</x:v>
      </x:c>
      <x:c r="B58" t="str">
        <x:v>operational</x:v>
      </x:c>
      <x:c r="C58" t="str">
        <x:v>Tuticorin Joint Venture</x:v>
      </x:c>
      <x:c r="D58" t="str">
        <x:v>Tamil Nadu</x:v>
      </x:c>
      <x:c r="E58" t="str">
        <x:v>Thoothukudi</x:v>
      </x:c>
      <x:c r="F58" t="str">
        <x:v>2015-07-09</x:v>
      </x:c>
      <x:c r="G58">
        <x:v>500</x:v>
      </x:c>
      <x:c r="H58" t="str">
        <x:v>NTPL (Joint Venture -NLC and TANGEDCO)</x:v>
      </x:c>
    </x:row>
    <x:row r="59">
      <x:c r="A59" t="str">
        <x:v>Coal</x:v>
      </x:c>
      <x:c r="B59" t="str">
        <x:v>operational</x:v>
      </x:c>
      <x:c r="C59" t="str">
        <x:v>Tuticorin TPS</x:v>
      </x:c>
      <x:c r="D59" t="str">
        <x:v>Tamil Nadu</x:v>
      </x:c>
      <x:c r="E59" t="str">
        <x:v>Thoothukudi</x:v>
      </x:c>
      <x:c r="F59" t="str">
        <x:v>1979-07-01</x:v>
      </x:c>
      <x:c r="G59">
        <x:v>210</x:v>
      </x:c>
      <x:c r="H59" t="str">
        <x:v>Tamil Nadu Generation &amp; Distribution Corp. Ltd. (TANGEDCO)</x:v>
      </x:c>
    </x:row>
    <x:row r="60">
      <x:c r="A60" t="str">
        <x:v>Coal</x:v>
      </x:c>
      <x:c r="B60" t="str">
        <x:v>operational</x:v>
      </x:c>
      <x:c r="C60" t="str">
        <x:v>Tuticorin TPS</x:v>
      </x:c>
      <x:c r="D60" t="str">
        <x:v>Tamil Nadu</x:v>
      </x:c>
      <x:c r="E60" t="str">
        <x:v>Thoothukudi</x:v>
      </x:c>
      <x:c r="F60" t="str">
        <x:v>1980-12-01</x:v>
      </x:c>
      <x:c r="G60">
        <x:v>210</x:v>
      </x:c>
      <x:c r="H60" t="str">
        <x:v>Tamil Nadu Generation &amp; Distribution Corp. Ltd. (TANGEDCO)</x:v>
      </x:c>
    </x:row>
    <x:row r="61">
      <x:c r="A61" t="str">
        <x:v>Coal</x:v>
      </x:c>
      <x:c r="B61" t="str">
        <x:v>operational</x:v>
      </x:c>
      <x:c r="C61" t="str">
        <x:v>Tuticorin TPS</x:v>
      </x:c>
      <x:c r="D61" t="str">
        <x:v>Tamil Nadu</x:v>
      </x:c>
      <x:c r="E61" t="str">
        <x:v>Thoothukudi</x:v>
      </x:c>
      <x:c r="F61" t="str">
        <x:v>1982-04-01</x:v>
      </x:c>
      <x:c r="G61">
        <x:v>210</x:v>
      </x:c>
      <x:c r="H61" t="str">
        <x:v>Tamil Nadu Generation &amp; Distribution Corp. Ltd. (TANGEDCO)</x:v>
      </x:c>
    </x:row>
    <x:row r="62">
      <x:c r="A62" t="str">
        <x:v>Coal</x:v>
      </x:c>
      <x:c r="B62" t="str">
        <x:v>operational</x:v>
      </x:c>
      <x:c r="C62" t="str">
        <x:v>Tuticorin TPS</x:v>
      </x:c>
      <x:c r="D62" t="str">
        <x:v>Tamil Nadu</x:v>
      </x:c>
      <x:c r="E62" t="str">
        <x:v>Thoothukudi</x:v>
      </x:c>
      <x:c r="F62" t="str">
        <x:v>1992-02-01</x:v>
      </x:c>
      <x:c r="G62">
        <x:v>210</x:v>
      </x:c>
      <x:c r="H62" t="str">
        <x:v>Tamil Nadu Generation &amp; Distribution Corp. Ltd. (TANGEDCO)</x:v>
      </x:c>
    </x:row>
    <x:row r="63">
      <x:c r="A63" t="str">
        <x:v>Coal</x:v>
      </x:c>
      <x:c r="B63" t="str">
        <x:v>operational</x:v>
      </x:c>
      <x:c r="C63" t="str">
        <x:v>Tuticorin TPS</x:v>
      </x:c>
      <x:c r="D63" t="str">
        <x:v>Tamil Nadu</x:v>
      </x:c>
      <x:c r="E63" t="str">
        <x:v>Thoothukudi</x:v>
      </x:c>
      <x:c r="F63" t="str">
        <x:v>1991-03-01</x:v>
      </x:c>
      <x:c r="G63">
        <x:v>210</x:v>
      </x:c>
      <x:c r="H63" t="str">
        <x:v>Tamil Nadu Generation &amp; Distribution Corp. Ltd. (TANGEDCO)</x:v>
      </x:c>
    </x:row>
    <x:row r="64">
      <x:c r="A64" t="str">
        <x:v>Coal</x:v>
      </x:c>
      <x:c r="B64" t="str">
        <x:v>operational</x:v>
      </x:c>
      <x:c r="C64" t="str">
        <x:v>Tuticorin Thermal Power Plant</x:v>
      </x:c>
      <x:c r="D64" t="str">
        <x:v>Tamil Nadu</x:v>
      </x:c>
      <x:c r="E64" t="str">
        <x:v>Thoothukudi</x:v>
      </x:c>
      <x:c r="F64" t="str">
        <x:v>2021-12-01</x:v>
      </x:c>
      <x:c r="G64">
        <x:v>525</x:v>
      </x:c>
      <x:c r="H64" t="str">
        <x:v>SEPC Power Pvt. Ltd.</x:v>
      </x:c>
    </x:row>
    <x:row r="65">
      <x:c r="A65" t="str">
        <x:v>Coal</x:v>
      </x:c>
      <x:c r="B65" t="str">
        <x:v>pipeline</x:v>
      </x:c>
      <x:c r="C65" t="str">
        <x:v>Udangudi Power Station</x:v>
      </x:c>
      <x:c r="D65" t="str">
        <x:v>Tamil Nadu</x:v>
      </x:c>
      <x:c r="E65" t="str">
        <x:v>Thoothukudi</x:v>
      </x:c>
      <x:c r="F65" t="str">
        <x:v>2026-03-01</x:v>
      </x:c>
      <x:c r="G65">
        <x:v>660</x:v>
      </x:c>
      <x:c r="H65" t="str">
        <x:v>Tamil Nadu Generation &amp; Distribution Corp. Ltd. (TANGEDCO)</x:v>
      </x:c>
    </x:row>
    <x:row r="66">
      <x:c r="A66" t="str">
        <x:v>Coal</x:v>
      </x:c>
      <x:c r="B66" t="str">
        <x:v>pipeline</x:v>
      </x:c>
      <x:c r="C66" t="str">
        <x:v>Udangudi Power Station</x:v>
      </x:c>
      <x:c r="D66" t="str">
        <x:v>Tamil Nadu</x:v>
      </x:c>
      <x:c r="E66" t="str">
        <x:v>Thoothukudi</x:v>
      </x:c>
      <x:c r="F66" t="str">
        <x:v>2026-08-01</x:v>
      </x:c>
      <x:c r="G66">
        <x:v>660</x:v>
      </x:c>
      <x:c r="H66" t="str">
        <x:v>Tamil Nadu Generation &amp; Distribution Corp. Ltd. (TANGEDCO)</x:v>
      </x:c>
    </x:row>
    <x:row r="67">
      <x:c r="A67" t="str">
        <x:v>Coal</x:v>
      </x:c>
      <x:c r="B67" t="str">
        <x:v>operational</x:v>
      </x:c>
      <x:c r="C67" t="str">
        <x:v>Vallur TPP</x:v>
      </x:c>
      <x:c r="D67" t="str">
        <x:v>Tamil Nadu</x:v>
      </x:c>
      <x:c r="E67" t="str">
        <x:v>Thiruvallur</x:v>
      </x:c>
      <x:c r="F67" t="str">
        <x:v>2012-03-01</x:v>
      </x:c>
      <x:c r="G67">
        <x:v>500</x:v>
      </x:c>
      <x:c r="H67" t="str">
        <x:v>NTPC Tamil Nadu Energy Co. Ltd. (NTECL)</x:v>
      </x:c>
    </x:row>
    <x:row r="68">
      <x:c r="A68" t="str">
        <x:v>Coal</x:v>
      </x:c>
      <x:c r="B68" t="str">
        <x:v>operational</x:v>
      </x:c>
      <x:c r="C68" t="str">
        <x:v>Vallur TPP</x:v>
      </x:c>
      <x:c r="D68" t="str">
        <x:v>Tamil Nadu</x:v>
      </x:c>
      <x:c r="E68" t="str">
        <x:v>Thiruvallur</x:v>
      </x:c>
      <x:c r="F68" t="str">
        <x:v>2013-02-28</x:v>
      </x:c>
      <x:c r="G68">
        <x:v>500</x:v>
      </x:c>
      <x:c r="H68" t="str">
        <x:v>NTPC Tamil Nadu Energy Co. Ltd. (NTECL)</x:v>
      </x:c>
    </x:row>
    <x:row r="69">
      <x:c r="A69" t="str">
        <x:v>Coal</x:v>
      </x:c>
      <x:c r="B69" t="str">
        <x:v>operational</x:v>
      </x:c>
      <x:c r="C69" t="str">
        <x:v>Vallur TPP</x:v>
      </x:c>
      <x:c r="D69" t="str">
        <x:v>Tamil Nadu</x:v>
      </x:c>
      <x:c r="E69" t="str">
        <x:v>Thiruvallur</x:v>
      </x:c>
      <x:c r="F69" t="str">
        <x:v>2014-02-28</x:v>
      </x:c>
      <x:c r="G69">
        <x:v>500</x:v>
      </x:c>
      <x:c r="H69" t="str">
        <x:v>NTPC Tamil Nadu Energy Co. Ltd. (NTECL)</x:v>
      </x:c>
    </x:row>
    <x:row r="70">
      <x:c r="A70" t="str">
        <x:v>Hydro</x:v>
      </x:c>
      <x:c r="B70" t="str">
        <x:v>operational</x:v>
      </x:c>
      <x:c r="C70" t="str">
        <x:v>Aliyar Hydroelectric Power Project</x:v>
      </x:c>
      <x:c r="D70" t="str">
        <x:v>Tamil Nadu</x:v>
      </x:c>
      <x:c r="E70" t="str">
        <x:v>Coimbatore</x:v>
      </x:c>
      <x:c r="F70" t="str">
        <x:v>1970-03-21</x:v>
      </x:c>
      <x:c r="G70">
        <x:v>60</x:v>
      </x:c>
      <x:c r="H70" t="str">
        <x:v>Tamil Nadu Generation &amp; Distribution Co. Limited (TANGEDCO)</x:v>
      </x:c>
    </x:row>
    <x:row r="71">
      <x:c r="A71" t="str">
        <x:v>Hydro</x:v>
      </x:c>
      <x:c r="B71" t="str">
        <x:v>operational</x:v>
      </x:c>
      <x:c r="C71" t="str">
        <x:v>Bhavani Kattalai Barrage I Hydroelectric Power Project</x:v>
      </x:c>
      <x:c r="D71" t="str">
        <x:v>Tamil Nadu</x:v>
      </x:c>
      <x:c r="E71" t="str">
        <x:v>Erode</x:v>
      </x:c>
      <x:c r="F71" t="str">
        <x:v>2006-12-08</x:v>
      </x:c>
      <x:c r="G71">
        <x:v>15</x:v>
      </x:c>
      <x:c r="H71" t="str">
        <x:v>Tamil Nadu Generation &amp; Distribution Co. Limited (TANGEDCO)</x:v>
      </x:c>
    </x:row>
    <x:row r="72">
      <x:c r="A72" t="str">
        <x:v>Hydro</x:v>
      </x:c>
      <x:c r="B72" t="str">
        <x:v>operational</x:v>
      </x:c>
      <x:c r="C72" t="str">
        <x:v>Bhavani Kattalai Barrage I Hydroelectric Power Project</x:v>
      </x:c>
      <x:c r="D72" t="str">
        <x:v>Tamil Nadu</x:v>
      </x:c>
      <x:c r="E72" t="str">
        <x:v>Erode</x:v>
      </x:c>
      <x:c r="F72" t="str">
        <x:v>2006-07-04</x:v>
      </x:c>
      <x:c r="G72">
        <x:v>15</x:v>
      </x:c>
      <x:c r="H72" t="str">
        <x:v>Tamil Nadu Generation &amp; Distribution Co. Limited (TANGEDCO)</x:v>
      </x:c>
    </x:row>
    <x:row r="73">
      <x:c r="A73" t="str">
        <x:v>Hydro</x:v>
      </x:c>
      <x:c r="B73" t="str">
        <x:v>operational</x:v>
      </x:c>
      <x:c r="C73" t="str">
        <x:v>Bhavani Kattalai Barrage II Hydroelectric Power Project</x:v>
      </x:c>
      <x:c r="D73" t="str">
        <x:v>Tamil Nadu</x:v>
      </x:c>
      <x:c r="E73" t="str">
        <x:v>Erode</x:v>
      </x:c>
      <x:c r="F73" t="str">
        <x:v>2013-08-27</x:v>
      </x:c>
      <x:c r="G73">
        <x:v>15</x:v>
      </x:c>
      <x:c r="H73" t="str">
        <x:v>Tamil Nadu Generation &amp; Distribution Co. Limited (TANGEDCO)</x:v>
      </x:c>
    </x:row>
    <x:row r="74">
      <x:c r="A74" t="str">
        <x:v>Hydro</x:v>
      </x:c>
      <x:c r="B74" t="str">
        <x:v>operational</x:v>
      </x:c>
      <x:c r="C74" t="str">
        <x:v>Bhavani Kattalai Barrage II Hydroelectric Power Project</x:v>
      </x:c>
      <x:c r="D74" t="str">
        <x:v>Tamil Nadu</x:v>
      </x:c>
      <x:c r="E74" t="str">
        <x:v>Erode</x:v>
      </x:c>
      <x:c r="F74" t="str">
        <x:v>2013-09-06</x:v>
      </x:c>
      <x:c r="G74">
        <x:v>15</x:v>
      </x:c>
      <x:c r="H74" t="str">
        <x:v>Tamil Nadu Generation &amp; Distribution Co. Limited (TANGEDCO)</x:v>
      </x:c>
    </x:row>
    <x:row r="75">
      <x:c r="A75" t="str">
        <x:v>Hydro</x:v>
      </x:c>
      <x:c r="B75" t="str">
        <x:v>operational</x:v>
      </x:c>
      <x:c r="C75" t="str">
        <x:v>Bhavani Kattalai Barrage III Hydroelectric Power Project</x:v>
      </x:c>
      <x:c r="D75" t="str">
        <x:v>Tamil Nadu</x:v>
      </x:c>
      <x:c r="E75" t="str">
        <x:v>Erode</x:v>
      </x:c>
      <x:c r="F75" t="str">
        <x:v>2012-06-28</x:v>
      </x:c>
      <x:c r="G75">
        <x:v>15</x:v>
      </x:c>
      <x:c r="H75" t="str">
        <x:v>Tamil Nadu Generation &amp; Distribution Co. Limited (TANGEDCO)</x:v>
      </x:c>
    </x:row>
    <x:row r="76">
      <x:c r="A76" t="str">
        <x:v>Hydro</x:v>
      </x:c>
      <x:c r="B76" t="str">
        <x:v>operational</x:v>
      </x:c>
      <x:c r="C76" t="str">
        <x:v>Bhavani Kattalai Barrage III Hydroelectric Power Project</x:v>
      </x:c>
      <x:c r="D76" t="str">
        <x:v>Tamil Nadu</x:v>
      </x:c>
      <x:c r="E76" t="str">
        <x:v>Erode</x:v>
      </x:c>
      <x:c r="F76" t="str">
        <x:v>2013-08-01</x:v>
      </x:c>
      <x:c r="G76">
        <x:v>15</x:v>
      </x:c>
      <x:c r="H76" t="str">
        <x:v>Tamil Nadu Generation &amp; Distribution Co. Limited (TANGEDCO)</x:v>
      </x:c>
    </x:row>
    <x:row r="77">
      <x:c r="A77" t="str">
        <x:v>Hydro</x:v>
      </x:c>
      <x:c r="B77" t="str">
        <x:v>operational</x:v>
      </x:c>
      <x:c r="C77" t="str">
        <x:v>Kadmparai Power House</x:v>
      </x:c>
      <x:c r="D77" t="str">
        <x:v>Tamil Nadu</x:v>
      </x:c>
      <x:c r="E77" t="str">
        <x:v>Coimbatore</x:v>
      </x:c>
      <x:c r="F77" t="str">
        <x:v>1987-10-17</x:v>
      </x:c>
      <x:c r="G77">
        <x:v>100</x:v>
      </x:c>
      <x:c r="H77" t="str">
        <x:v>Tamil Nadu Generation &amp; Distribution Co. Limited (TANGEDCO)</x:v>
      </x:c>
    </x:row>
    <x:row r="78">
      <x:c r="A78" t="str">
        <x:v>Hydro</x:v>
      </x:c>
      <x:c r="B78" t="str">
        <x:v>operational</x:v>
      </x:c>
      <x:c r="C78" t="str">
        <x:v>Kadmparai Power House</x:v>
      </x:c>
      <x:c r="D78" t="str">
        <x:v>Tamil Nadu</x:v>
      </x:c>
      <x:c r="E78" t="str">
        <x:v>Coimbatore</x:v>
      </x:c>
      <x:c r="F78" t="str">
        <x:v>1988-02-26</x:v>
      </x:c>
      <x:c r="G78">
        <x:v>100</x:v>
      </x:c>
      <x:c r="H78" t="str">
        <x:v>Tamil Nadu Generation &amp; Distribution Co. Limited (TANGEDCO)</x:v>
      </x:c>
    </x:row>
    <x:row r="79">
      <x:c r="A79" t="str">
        <x:v>Hydro</x:v>
      </x:c>
      <x:c r="B79" t="str">
        <x:v>operational</x:v>
      </x:c>
      <x:c r="C79" t="str">
        <x:v>Kadmparai Power House</x:v>
      </x:c>
      <x:c r="D79" t="str">
        <x:v>Tamil Nadu</x:v>
      </x:c>
      <x:c r="E79" t="str">
        <x:v>Coimbatore</x:v>
      </x:c>
      <x:c r="F79" t="str">
        <x:v>1988-04-12</x:v>
      </x:c>
      <x:c r="G79">
        <x:v>100</x:v>
      </x:c>
      <x:c r="H79" t="str">
        <x:v>Tamil Nadu Generation &amp; Distribution Co. Limited (TANGEDCO)</x:v>
      </x:c>
    </x:row>
    <x:row r="80">
      <x:c r="A80" t="str">
        <x:v>Hydro</x:v>
      </x:c>
      <x:c r="B80" t="str">
        <x:v>operational</x:v>
      </x:c>
      <x:c r="C80" t="str">
        <x:v>Kadmparai Power House</x:v>
      </x:c>
      <x:c r="D80" t="str">
        <x:v>Tamil Nadu</x:v>
      </x:c>
      <x:c r="E80" t="str">
        <x:v>Coimbatore</x:v>
      </x:c>
      <x:c r="F80" t="str">
        <x:v>1989-12-16</x:v>
      </x:c>
      <x:c r="G80">
        <x:v>100</x:v>
      </x:c>
      <x:c r="H80" t="str">
        <x:v>Tamil Nadu Generation &amp; Distribution Co. Limited (TANGEDCO)</x:v>
      </x:c>
    </x:row>
    <x:row r="81">
      <x:c r="A81" t="str">
        <x:v>Hydro</x:v>
      </x:c>
      <x:c r="B81" t="str">
        <x:v>operational</x:v>
      </x:c>
      <x:c r="C81" t="str">
        <x:v>Kodayar I &amp; II Power House</x:v>
      </x:c>
      <x:c r="D81" t="str">
        <x:v>Tamil Nadu</x:v>
      </x:c>
      <x:c r="E81" t="str">
        <x:v>Kanyakumari</x:v>
      </x:c>
      <x:c r="F81" t="str">
        <x:v>1970-12-09</x:v>
      </x:c>
      <x:c r="G81">
        <x:v>60</x:v>
      </x:c>
      <x:c r="H81" t="str">
        <x:v>Tamil Nadu Generation &amp; Distribution Co. Limited (TANGEDCO)</x:v>
      </x:c>
    </x:row>
    <x:row r="82">
      <x:c r="A82" t="str">
        <x:v>Hydro</x:v>
      </x:c>
      <x:c r="B82" t="str">
        <x:v>operational</x:v>
      </x:c>
      <x:c r="C82" t="str">
        <x:v>Kodayar I &amp; II Power House</x:v>
      </x:c>
      <x:c r="D82" t="str">
        <x:v>Tamil Nadu</x:v>
      </x:c>
      <x:c r="E82" t="str">
        <x:v>Kanyakumari</x:v>
      </x:c>
      <x:c r="F82" t="str">
        <x:v>1971-11-17</x:v>
      </x:c>
      <x:c r="G82">
        <x:v>40</x:v>
      </x:c>
      <x:c r="H82" t="str">
        <x:v>Tamil Nadu Generation &amp; Distribution Co. Limited (TANGEDCO)</x:v>
      </x:c>
    </x:row>
    <x:row r="83">
      <x:c r="A83" t="str">
        <x:v>Hydro</x:v>
      </x:c>
      <x:c r="B83" t="str">
        <x:v>operational</x:v>
      </x:c>
      <x:c r="C83" t="str">
        <x:v>Kundah I to V Hydroelectric Power Project</x:v>
      </x:c>
      <x:c r="D83" t="str">
        <x:v>Tamil Nadu</x:v>
      </x:c>
      <x:c r="E83" t="str">
        <x:v>Nilgiris</x:v>
      </x:c>
      <x:c r="F83" t="str">
        <x:v>1960-07-08</x:v>
      </x:c>
      <x:c r="G83">
        <x:v>20</x:v>
      </x:c>
      <x:c r="H83" t="str">
        <x:v>Tamil Nadu Generation &amp; Distribution Co. Limited (TANGEDCO)</x:v>
      </x:c>
    </x:row>
    <x:row r="84">
      <x:c r="A84" t="str">
        <x:v>Hydro</x:v>
      </x:c>
      <x:c r="B84" t="str">
        <x:v>operational</x:v>
      </x:c>
      <x:c r="C84" t="str">
        <x:v>Kundah I to V Hydroelectric Power Project</x:v>
      </x:c>
      <x:c r="D84" t="str">
        <x:v>Tamil Nadu</x:v>
      </x:c>
      <x:c r="E84" t="str">
        <x:v>Nilgiris</x:v>
      </x:c>
      <x:c r="F84" t="str">
        <x:v>1960-07-22</x:v>
      </x:c>
      <x:c r="G84">
        <x:v>20</x:v>
      </x:c>
      <x:c r="H84" t="str">
        <x:v>Tamil Nadu Generation &amp; Distribution Co. Limited (TANGEDCO)</x:v>
      </x:c>
    </x:row>
    <x:row r="85">
      <x:c r="A85" t="str">
        <x:v>Hydro</x:v>
      </x:c>
      <x:c r="B85" t="str">
        <x:v>operational</x:v>
      </x:c>
      <x:c r="C85" t="str">
        <x:v>Kundah I to V Hydroelectric Power Project</x:v>
      </x:c>
      <x:c r="D85" t="str">
        <x:v>Tamil Nadu</x:v>
      </x:c>
      <x:c r="E85" t="str">
        <x:v>Nilgiris</x:v>
      </x:c>
      <x:c r="F85" t="str">
        <x:v>1964-04-01</x:v>
      </x:c>
      <x:c r="G85">
        <x:v>20</x:v>
      </x:c>
      <x:c r="H85" t="str">
        <x:v>Tamil Nadu Generation &amp; Distribution Co. Limited (TANGEDCO)</x:v>
      </x:c>
    </x:row>
    <x:row r="86">
      <x:c r="A86" t="str">
        <x:v>Hydro</x:v>
      </x:c>
      <x:c r="B86" t="str">
        <x:v>operational</x:v>
      </x:c>
      <x:c r="C86" t="str">
        <x:v>Kundah I to V Hydroelectric Power Project</x:v>
      </x:c>
      <x:c r="D86" t="str">
        <x:v>Tamil Nadu</x:v>
      </x:c>
      <x:c r="E86" t="str">
        <x:v>Nilgiris</x:v>
      </x:c>
      <x:c r="F86" t="str">
        <x:v>1960-10-30</x:v>
      </x:c>
      <x:c r="G86">
        <x:v>35</x:v>
      </x:c>
      <x:c r="H86" t="str">
        <x:v>Tamil Nadu Generation &amp; Distribution Co. Limited (TANGEDCO)</x:v>
      </x:c>
    </x:row>
    <x:row r="87">
      <x:c r="A87" t="str">
        <x:v>Hydro</x:v>
      </x:c>
      <x:c r="B87" t="str">
        <x:v>operational</x:v>
      </x:c>
      <x:c r="C87" t="str">
        <x:v>Kundah I to V Hydroelectric Power Project</x:v>
      </x:c>
      <x:c r="D87" t="str">
        <x:v>Tamil Nadu</x:v>
      </x:c>
      <x:c r="E87" t="str">
        <x:v>Nilgiris</x:v>
      </x:c>
      <x:c r="F87" t="str">
        <x:v>1961-01-10</x:v>
      </x:c>
      <x:c r="G87">
        <x:v>35</x:v>
      </x:c>
      <x:c r="H87" t="str">
        <x:v>Tamil Nadu Generation &amp; Distribution Co. Limited (TANGEDCO)</x:v>
      </x:c>
    </x:row>
    <x:row r="88">
      <x:c r="A88" t="str">
        <x:v>Hydro</x:v>
      </x:c>
      <x:c r="B88" t="str">
        <x:v>operational</x:v>
      </x:c>
      <x:c r="C88" t="str">
        <x:v>Kundah I to V Hydroelectric Power Project</x:v>
      </x:c>
      <x:c r="D88" t="str">
        <x:v>Tamil Nadu</x:v>
      </x:c>
      <x:c r="E88" t="str">
        <x:v>Nilgiris</x:v>
      </x:c>
      <x:c r="F88" t="str">
        <x:v>1961-05-02</x:v>
      </x:c>
      <x:c r="G88">
        <x:v>35</x:v>
      </x:c>
      <x:c r="H88" t="str">
        <x:v>Tamil Nadu Generation &amp; Distribution Co. Limited (TANGEDCO)</x:v>
      </x:c>
    </x:row>
    <x:row r="89">
      <x:c r="A89" t="str">
        <x:v>Hydro</x:v>
      </x:c>
      <x:c r="B89" t="str">
        <x:v>operational</x:v>
      </x:c>
      <x:c r="C89" t="str">
        <x:v>Kundah I to V Hydroelectric Power Project</x:v>
      </x:c>
      <x:c r="D89" t="str">
        <x:v>Tamil Nadu</x:v>
      </x:c>
      <x:c r="E89" t="str">
        <x:v>Nilgiris</x:v>
      </x:c>
      <x:c r="F89" t="str">
        <x:v>1961-06-16</x:v>
      </x:c>
      <x:c r="G89">
        <x:v>35</x:v>
      </x:c>
      <x:c r="H89" t="str">
        <x:v>Tamil Nadu Generation &amp; Distribution Co. Limited (TANGEDCO)</x:v>
      </x:c>
    </x:row>
    <x:row r="90">
      <x:c r="A90" t="str">
        <x:v>Hydro</x:v>
      </x:c>
      <x:c r="B90" t="str">
        <x:v>operational</x:v>
      </x:c>
      <x:c r="C90" t="str">
        <x:v>Kundah I to V Hydroelectric Power Project</x:v>
      </x:c>
      <x:c r="D90" t="str">
        <x:v>Tamil Nadu</x:v>
      </x:c>
      <x:c r="E90" t="str">
        <x:v>Nilgiris</x:v>
      </x:c>
      <x:c r="F90" t="str">
        <x:v>1964-02-23</x:v>
      </x:c>
      <x:c r="G90">
        <x:v>35</x:v>
      </x:c>
      <x:c r="H90" t="str">
        <x:v>Tamil Nadu Generation &amp; Distribution Co. Limited (TANGEDCO)</x:v>
      </x:c>
    </x:row>
    <x:row r="91">
      <x:c r="A91" t="str">
        <x:v>Hydro</x:v>
      </x:c>
      <x:c r="B91" t="str">
        <x:v>operational</x:v>
      </x:c>
      <x:c r="C91" t="str">
        <x:v>Kundah I to V Hydroelectric Power Project</x:v>
      </x:c>
      <x:c r="D91" t="str">
        <x:v>Tamil Nadu</x:v>
      </x:c>
      <x:c r="E91" t="str">
        <x:v>Coimbatore</x:v>
      </x:c>
      <x:c r="F91" t="str">
        <x:v>1965-04-07</x:v>
      </x:c>
      <x:c r="G91">
        <x:v>60</x:v>
      </x:c>
      <x:c r="H91" t="str">
        <x:v>Tamil Nadu Generation &amp; Distribution Co. Limited (TANGEDCO)</x:v>
      </x:c>
    </x:row>
    <x:row r="92">
      <x:c r="A92" t="str">
        <x:v>Hydro</x:v>
      </x:c>
      <x:c r="B92" t="str">
        <x:v>operational</x:v>
      </x:c>
      <x:c r="C92" t="str">
        <x:v>Kundah I to V Hydroelectric Power Project</x:v>
      </x:c>
      <x:c r="D92" t="str">
        <x:v>Tamil Nadu</x:v>
      </x:c>
      <x:c r="E92" t="str">
        <x:v>Coimbatore</x:v>
      </x:c>
      <x:c r="F92" t="str">
        <x:v>1965-06-11</x:v>
      </x:c>
      <x:c r="G92">
        <x:v>60</x:v>
      </x:c>
      <x:c r="H92" t="str">
        <x:v>Tamil Nadu Generation &amp; Distribution Co. Limited (TANGEDCO)</x:v>
      </x:c>
    </x:row>
    <x:row r="93">
      <x:c r="A93" t="str">
        <x:v>Hydro</x:v>
      </x:c>
      <x:c r="B93" t="str">
        <x:v>operational</x:v>
      </x:c>
      <x:c r="C93" t="str">
        <x:v>Kundah I to V Hydroelectric Power Project</x:v>
      </x:c>
      <x:c r="D93" t="str">
        <x:v>Tamil Nadu</x:v>
      </x:c>
      <x:c r="E93" t="str">
        <x:v>Coimbatore</x:v>
      </x:c>
      <x:c r="F93" t="str">
        <x:v>1978-02-18</x:v>
      </x:c>
      <x:c r="G93">
        <x:v>60</x:v>
      </x:c>
      <x:c r="H93" t="str">
        <x:v>Tamil Nadu Generation &amp; Distribution Co. Limited (TANGEDCO)</x:v>
      </x:c>
    </x:row>
    <x:row r="94">
      <x:c r="A94" t="str">
        <x:v>Hydro</x:v>
      </x:c>
      <x:c r="B94" t="str">
        <x:v>operational</x:v>
      </x:c>
      <x:c r="C94" t="str">
        <x:v>Kundah I to V Hydroelectric Power Project</x:v>
      </x:c>
      <x:c r="D94" t="str">
        <x:v>Tamil Nadu</x:v>
      </x:c>
      <x:c r="E94" t="str">
        <x:v>Coimbatore</x:v>
      </x:c>
      <x:c r="F94" t="str">
        <x:v>1966-02-27</x:v>
      </x:c>
      <x:c r="G94">
        <x:v>50</x:v>
      </x:c>
      <x:c r="H94" t="str">
        <x:v>Tamil Nadu Generation &amp; Distribution Co. Limited (TANGEDCO)</x:v>
      </x:c>
    </x:row>
    <x:row r="95">
      <x:c r="A95" t="str">
        <x:v>Hydro</x:v>
      </x:c>
      <x:c r="B95" t="str">
        <x:v>operational</x:v>
      </x:c>
      <x:c r="C95" t="str">
        <x:v>Kundah I to V Hydroelectric Power Project</x:v>
      </x:c>
      <x:c r="D95" t="str">
        <x:v>Tamil Nadu</x:v>
      </x:c>
      <x:c r="E95" t="str">
        <x:v>Coimbatore</x:v>
      </x:c>
      <x:c r="F95" t="str">
        <x:v>1978-10-19</x:v>
      </x:c>
      <x:c r="G95">
        <x:v>50</x:v>
      </x:c>
      <x:c r="H95" t="str">
        <x:v>Tamil Nadu Generation &amp; Distribution Co. Limited (TANGEDCO)</x:v>
      </x:c>
    </x:row>
    <x:row r="96">
      <x:c r="A96" t="str">
        <x:v>Hydro</x:v>
      </x:c>
      <x:c r="B96" t="str">
        <x:v>operational</x:v>
      </x:c>
      <x:c r="C96" t="str">
        <x:v>Kundah I to V Hydroelectric Power Project</x:v>
      </x:c>
      <x:c r="D96" t="str">
        <x:v>Tamil Nadu</x:v>
      </x:c>
      <x:c r="E96" t="str">
        <x:v>Nilgiris</x:v>
      </x:c>
      <x:c r="F96" t="str">
        <x:v>1964-10-30</x:v>
      </x:c>
      <x:c r="G96">
        <x:v>20</x:v>
      </x:c>
      <x:c r="H96" t="str">
        <x:v>Tamil Nadu Generation &amp; Distribution Co. Limited (TANGEDCO)</x:v>
      </x:c>
    </x:row>
    <x:row r="97">
      <x:c r="A97" t="str">
        <x:v>Hydro</x:v>
      </x:c>
      <x:c r="B97" t="str">
        <x:v>operational</x:v>
      </x:c>
      <x:c r="C97" t="str">
        <x:v>Kundah I to V Hydroelectric Power Project</x:v>
      </x:c>
      <x:c r="D97" t="str">
        <x:v>Tamil Nadu</x:v>
      </x:c>
      <x:c r="E97" t="str">
        <x:v>Nilgiris</x:v>
      </x:c>
      <x:c r="F97" t="str">
        <x:v>1989-12-06</x:v>
      </x:c>
      <x:c r="G97">
        <x:v>20</x:v>
      </x:c>
      <x:c r="H97" t="str">
        <x:v>Tamil Nadu Generation &amp; Distribution Co. Limited (TANGEDCO)</x:v>
      </x:c>
    </x:row>
    <x:row r="98">
      <x:c r="A98" t="str">
        <x:v>Hydro</x:v>
      </x:c>
      <x:c r="B98" t="str">
        <x:v>pipeline</x:v>
      </x:c>
      <x:c r="C98" t="str">
        <x:v>Kundah Pumped Storage Phase-I, II &amp; III</x:v>
      </x:c>
      <x:c r="D98" t="str">
        <x:v>Tamil Nadu</x:v>
      </x:c>
      <x:c r="E98" t="str">
        <x:v>Nilgiris</x:v>
      </x:c>
      <x:c r="F98" t="str">
        <x:v>2027-02-01</x:v>
      </x:c>
      <x:c r="G98">
        <x:v>125</x:v>
      </x:c>
      <x:c r="H98" t="str">
        <x:v>Tamil Nadu Generation &amp; Distribution Co. Limited (TANGEDCO)</x:v>
      </x:c>
    </x:row>
    <x:row r="99">
      <x:c r="A99" t="str">
        <x:v>Hydro</x:v>
      </x:c>
      <x:c r="B99" t="str">
        <x:v>pipeline</x:v>
      </x:c>
      <x:c r="C99" t="str">
        <x:v>Kundah Pumped Storage Phase-I, II &amp; III</x:v>
      </x:c>
      <x:c r="D99" t="str">
        <x:v>Tamil Nadu</x:v>
      </x:c>
      <x:c r="E99" t="str">
        <x:v>Nilgiris</x:v>
      </x:c>
      <x:c r="F99" t="str">
        <x:v>2027-02-01</x:v>
      </x:c>
      <x:c r="G99">
        <x:v>125</x:v>
      </x:c>
      <x:c r="H99" t="str">
        <x:v>Tamil Nadu Generation &amp; Distribution Co. Limited (TANGEDCO)</x:v>
      </x:c>
    </x:row>
    <x:row r="100">
      <x:c r="A100" t="str">
        <x:v>Hydro</x:v>
      </x:c>
      <x:c r="B100" t="str">
        <x:v>pipeline</x:v>
      </x:c>
      <x:c r="C100" t="str">
        <x:v>Kundah Pumped Storage Phase-I, II &amp; III</x:v>
      </x:c>
      <x:c r="D100" t="str">
        <x:v>Tamil Nadu</x:v>
      </x:c>
      <x:c r="E100" t="str">
        <x:v>Nilgiris</x:v>
      </x:c>
      <x:c r="F100" t="str">
        <x:v>2027-02-01</x:v>
      </x:c>
      <x:c r="G100">
        <x:v>125</x:v>
      </x:c>
      <x:c r="H100" t="str">
        <x:v>Tamil Nadu Generation &amp; Distribution Co. Limited (TANGEDCO)</x:v>
      </x:c>
    </x:row>
    <x:row r="101">
      <x:c r="A101" t="str">
        <x:v>Hydro</x:v>
      </x:c>
      <x:c r="B101" t="str">
        <x:v>pipeline</x:v>
      </x:c>
      <x:c r="C101" t="str">
        <x:v>Kundah Pumped Storage Phase-I, II &amp; III</x:v>
      </x:c>
      <x:c r="D101" t="str">
        <x:v>Tamil Nadu</x:v>
      </x:c>
      <x:c r="E101" t="str">
        <x:v>Nilgiris</x:v>
      </x:c>
      <x:c r="F101" t="str">
        <x:v>2027-02-01</x:v>
      </x:c>
      <x:c r="G101">
        <x:v>125</x:v>
      </x:c>
      <x:c r="H101" t="str">
        <x:v>Tamil Nadu Generation &amp; Distribution Co. Limited (TANGEDCO)</x:v>
      </x:c>
    </x:row>
    <x:row r="102">
      <x:c r="A102" t="str">
        <x:v>Hydro</x:v>
      </x:c>
      <x:c r="B102" t="str">
        <x:v>operational</x:v>
      </x:c>
      <x:c r="C102" t="str">
        <x:v>Lower Mettur I to IV Hydroelectric Power Project</x:v>
      </x:c>
      <x:c r="D102" t="str">
        <x:v>Tamil Nadu</x:v>
      </x:c>
      <x:c r="E102" t="str">
        <x:v>Salem</x:v>
      </x:c>
      <x:c r="F102" t="str">
        <x:v>1988-08-12</x:v>
      </x:c>
      <x:c r="G102">
        <x:v>15</x:v>
      </x:c>
      <x:c r="H102" t="str">
        <x:v>Tamil Nadu Generation &amp; Distribution Co. Limited (TANGEDCO)</x:v>
      </x:c>
    </x:row>
    <x:row r="103">
      <x:c r="A103" t="str">
        <x:v>Hydro</x:v>
      </x:c>
      <x:c r="B103" t="str">
        <x:v>operational</x:v>
      </x:c>
      <x:c r="C103" t="str">
        <x:v>Lower Mettur I to IV Hydroelectric Power Project</x:v>
      </x:c>
      <x:c r="D103" t="str">
        <x:v>Tamil Nadu</x:v>
      </x:c>
      <x:c r="E103" t="str">
        <x:v>Salem</x:v>
      </x:c>
      <x:c r="F103" t="str">
        <x:v>1988-08-07</x:v>
      </x:c>
      <x:c r="G103">
        <x:v>15</x:v>
      </x:c>
      <x:c r="H103" t="str">
        <x:v>Tamil Nadu Generation &amp; Distribution Co. Limited (TANGEDCO)</x:v>
      </x:c>
    </x:row>
    <x:row r="104">
      <x:c r="A104" t="str">
        <x:v>Hydro</x:v>
      </x:c>
      <x:c r="B104" t="str">
        <x:v>operational</x:v>
      </x:c>
      <x:c r="C104" t="str">
        <x:v>Lower Mettur I to IV Hydroelectric Power Project</x:v>
      </x:c>
      <x:c r="D104" t="str">
        <x:v>Tamil Nadu</x:v>
      </x:c>
      <x:c r="E104" t="str">
        <x:v>Salem</x:v>
      </x:c>
      <x:c r="F104" t="str">
        <x:v>1988-08-26</x:v>
      </x:c>
      <x:c r="G104">
        <x:v>15</x:v>
      </x:c>
      <x:c r="H104" t="str">
        <x:v>Tamil Nadu Generation &amp; Distribution Co. Limited (TANGEDCO)</x:v>
      </x:c>
    </x:row>
    <x:row r="105">
      <x:c r="A105" t="str">
        <x:v>Hydro</x:v>
      </x:c>
      <x:c r="B105" t="str">
        <x:v>operational</x:v>
      </x:c>
      <x:c r="C105" t="str">
        <x:v>Lower Mettur I to IV Hydroelectric Power Project</x:v>
      </x:c>
      <x:c r="D105" t="str">
        <x:v>Tamil Nadu</x:v>
      </x:c>
      <x:c r="E105" t="str">
        <x:v>Salem</x:v>
      </x:c>
      <x:c r="F105" t="str">
        <x:v>1988-08-04</x:v>
      </x:c>
      <x:c r="G105">
        <x:v>15</x:v>
      </x:c>
      <x:c r="H105" t="str">
        <x:v>Tamil Nadu Generation &amp; Distribution Co. Limited (TANGEDCO)</x:v>
      </x:c>
    </x:row>
    <x:row r="106">
      <x:c r="A106" t="str">
        <x:v>Hydro</x:v>
      </x:c>
      <x:c r="B106" t="str">
        <x:v>operational</x:v>
      </x:c>
      <x:c r="C106" t="str">
        <x:v>Lower Mettur I to IV Hydroelectric Power Project</x:v>
      </x:c>
      <x:c r="D106" t="str">
        <x:v>Tamil Nadu</x:v>
      </x:c>
      <x:c r="E106" t="str">
        <x:v>Salem</x:v>
      </x:c>
      <x:c r="F106" t="str">
        <x:v>1988-01-04</x:v>
      </x:c>
      <x:c r="G106">
        <x:v>15</x:v>
      </x:c>
      <x:c r="H106" t="str">
        <x:v>Tamil Nadu Generation &amp; Distribution Co. Limited (TANGEDCO)</x:v>
      </x:c>
    </x:row>
    <x:row r="107">
      <x:c r="A107" t="str">
        <x:v>Hydro</x:v>
      </x:c>
      <x:c r="B107" t="str">
        <x:v>operational</x:v>
      </x:c>
      <x:c r="C107" t="str">
        <x:v>Lower Mettur I to IV Hydroelectric Power Project</x:v>
      </x:c>
      <x:c r="D107" t="str">
        <x:v>Tamil Nadu</x:v>
      </x:c>
      <x:c r="E107" t="str">
        <x:v>Salem</x:v>
      </x:c>
      <x:c r="F107" t="str">
        <x:v>1988-09-30</x:v>
      </x:c>
      <x:c r="G107">
        <x:v>15</x:v>
      </x:c>
      <x:c r="H107" t="str">
        <x:v>Tamil Nadu Generation &amp; Distribution Co. Limited (TANGEDCO)</x:v>
      </x:c>
    </x:row>
    <x:row r="108">
      <x:c r="A108" t="str">
        <x:v>Hydro</x:v>
      </x:c>
      <x:c r="B108" t="str">
        <x:v>operational</x:v>
      </x:c>
      <x:c r="C108" t="str">
        <x:v>Lower Mettur I to IV Hydroelectric Power Project</x:v>
      </x:c>
      <x:c r="D108" t="str">
        <x:v>Tamil Nadu</x:v>
      </x:c>
      <x:c r="E108" t="str">
        <x:v>Salem</x:v>
      </x:c>
      <x:c r="F108" t="str">
        <x:v>1989-09-18</x:v>
      </x:c>
      <x:c r="G108">
        <x:v>15</x:v>
      </x:c>
      <x:c r="H108" t="str">
        <x:v>Tamil Nadu Generation &amp; Distribution Co. Limited (TANGEDCO)</x:v>
      </x:c>
    </x:row>
    <x:row r="109">
      <x:c r="A109" t="str">
        <x:v>Hydro</x:v>
      </x:c>
      <x:c r="B109" t="str">
        <x:v>operational</x:v>
      </x:c>
      <x:c r="C109" t="str">
        <x:v>Lower Mettur I to IV Hydroelectric Power Project</x:v>
      </x:c>
      <x:c r="D109" t="str">
        <x:v>Tamil Nadu</x:v>
      </x:c>
      <x:c r="E109" t="str">
        <x:v>Salem</x:v>
      </x:c>
      <x:c r="F109" t="str">
        <x:v>1988-12-28</x:v>
      </x:c>
      <x:c r="G109">
        <x:v>15</x:v>
      </x:c>
      <x:c r="H109" t="str">
        <x:v>Tamil Nadu Generation &amp; Distribution Co. Limited (TANGEDCO)</x:v>
      </x:c>
    </x:row>
    <x:row r="110">
      <x:c r="A110" t="str">
        <x:v>Hydro</x:v>
      </x:c>
      <x:c r="B110" t="str">
        <x:v>operational</x:v>
      </x:c>
      <x:c r="C110" t="str">
        <x:v>Mettur Dam Hydroelectric Power Project</x:v>
      </x:c>
      <x:c r="D110" t="str">
        <x:v>Tamil Nadu</x:v>
      </x:c>
      <x:c r="E110" t="str">
        <x:v>Salem</x:v>
      </x:c>
      <x:c r="F110" t="str">
        <x:v>1937-06-13</x:v>
      </x:c>
      <x:c r="G110">
        <x:v>12.5</x:v>
      </x:c>
      <x:c r="H110" t="str">
        <x:v>Tamil Nadu Generation &amp; Distribution Co. Limited (TANGEDCO)</x:v>
      </x:c>
    </x:row>
    <x:row r="111">
      <x:c r="A111" t="str">
        <x:v>Hydro</x:v>
      </x:c>
      <x:c r="B111" t="str">
        <x:v>operational</x:v>
      </x:c>
      <x:c r="C111" t="str">
        <x:v>Mettur Dam Hydroelectric Power Project</x:v>
      </x:c>
      <x:c r="D111" t="str">
        <x:v>Tamil Nadu</x:v>
      </x:c>
      <x:c r="E111" t="str">
        <x:v>Salem</x:v>
      </x:c>
      <x:c r="F111" t="str">
        <x:v>1937-08-21</x:v>
      </x:c>
      <x:c r="G111">
        <x:v>12.5</x:v>
      </x:c>
      <x:c r="H111" t="str">
        <x:v>Tamil Nadu Generation &amp; Distribution Co. Limited (TANGEDCO)</x:v>
      </x:c>
    </x:row>
    <x:row r="112">
      <x:c r="A112" t="str">
        <x:v>Hydro</x:v>
      </x:c>
      <x:c r="B112" t="str">
        <x:v>operational</x:v>
      </x:c>
      <x:c r="C112" t="str">
        <x:v>Mettur Dam Hydroelectric Power Project</x:v>
      </x:c>
      <x:c r="D112" t="str">
        <x:v>Tamil Nadu</x:v>
      </x:c>
      <x:c r="E112" t="str">
        <x:v>Salem</x:v>
      </x:c>
      <x:c r="F112" t="str">
        <x:v>1938-01-21</x:v>
      </x:c>
      <x:c r="G112">
        <x:v>12.5</x:v>
      </x:c>
      <x:c r="H112" t="str">
        <x:v>Tamil Nadu Generation &amp; Distribution Co. Limited (TANGEDCO)</x:v>
      </x:c>
    </x:row>
    <x:row r="113">
      <x:c r="A113" t="str">
        <x:v>Hydro</x:v>
      </x:c>
      <x:c r="B113" t="str">
        <x:v>operational</x:v>
      </x:c>
      <x:c r="C113" t="str">
        <x:v>Mettur Dam Hydroelectric Power Project</x:v>
      </x:c>
      <x:c r="D113" t="str">
        <x:v>Tamil Nadu</x:v>
      </x:c>
      <x:c r="E113" t="str">
        <x:v>Salem</x:v>
      </x:c>
      <x:c r="F113" t="str">
        <x:v>1946-10-20</x:v>
      </x:c>
      <x:c r="G113">
        <x:v>12.5</x:v>
      </x:c>
      <x:c r="H113" t="str">
        <x:v>Tamil Nadu Generation &amp; Distribution Co. Limited (TANGEDCO)</x:v>
      </x:c>
    </x:row>
    <x:row r="114">
      <x:c r="A114" t="str">
        <x:v>Hydro</x:v>
      </x:c>
      <x:c r="B114" t="str">
        <x:v>operational</x:v>
      </x:c>
      <x:c r="C114" t="str">
        <x:v>Mettur Tunnel</x:v>
      </x:c>
      <x:c r="D114" t="str">
        <x:v>Tamil Nadu</x:v>
      </x:c>
      <x:c r="E114" t="str">
        <x:v>Salem</x:v>
      </x:c>
      <x:c r="F114" t="str">
        <x:v>1965-08-16</x:v>
      </x:c>
      <x:c r="G114">
        <x:v>50</x:v>
      </x:c>
      <x:c r="H114" t="str">
        <x:v>Tamil Nadu Generation &amp; Distribution Co. Limited (TANGEDCO)</x:v>
      </x:c>
    </x:row>
    <x:row r="115">
      <x:c r="A115" t="str">
        <x:v>Hydro</x:v>
      </x:c>
      <x:c r="B115" t="str">
        <x:v>operational</x:v>
      </x:c>
      <x:c r="C115" t="str">
        <x:v>Mettur Tunnel</x:v>
      </x:c>
      <x:c r="D115" t="str">
        <x:v>Tamil Nadu</x:v>
      </x:c>
      <x:c r="E115" t="str">
        <x:v>Salem</x:v>
      </x:c>
      <x:c r="F115" t="str">
        <x:v>1966-07-21</x:v>
      </x:c>
      <x:c r="G115">
        <x:v>50</x:v>
      </x:c>
      <x:c r="H115" t="str">
        <x:v>Tamil Nadu Generation &amp; Distribution Co. Limited (TANGEDCO)</x:v>
      </x:c>
    </x:row>
    <x:row r="116">
      <x:c r="A116" t="str">
        <x:v>Hydro</x:v>
      </x:c>
      <x:c r="B116" t="str">
        <x:v>operational</x:v>
      </x:c>
      <x:c r="C116" t="str">
        <x:v>Mettur Tunnel</x:v>
      </x:c>
      <x:c r="D116" t="str">
        <x:v>Tamil Nadu</x:v>
      </x:c>
      <x:c r="E116" t="str">
        <x:v>Salem</x:v>
      </x:c>
      <x:c r="F116" t="str">
        <x:v>1966-07-21</x:v>
      </x:c>
      <x:c r="G116">
        <x:v>50</x:v>
      </x:c>
      <x:c r="H116" t="str">
        <x:v>Tamil Nadu Generation &amp; Distribution Co. Limited (TANGEDCO)</x:v>
      </x:c>
    </x:row>
    <x:row r="117">
      <x:c r="A117" t="str">
        <x:v>Hydro</x:v>
      </x:c>
      <x:c r="B117" t="str">
        <x:v>operational</x:v>
      </x:c>
      <x:c r="C117" t="str">
        <x:v>Mettur Tunnel</x:v>
      </x:c>
      <x:c r="D117" t="str">
        <x:v>Tamil Nadu</x:v>
      </x:c>
      <x:c r="E117" t="str">
        <x:v>Salem</x:v>
      </x:c>
      <x:c r="F117" t="str">
        <x:v>1966-07-31</x:v>
      </x:c>
      <x:c r="G117">
        <x:v>50</x:v>
      </x:c>
      <x:c r="H117" t="str">
        <x:v>Tamil Nadu Generation &amp; Distribution Co. Limited (TANGEDCO)</x:v>
      </x:c>
    </x:row>
    <x:row r="118">
      <x:c r="A118" t="str">
        <x:v>Hydro</x:v>
      </x:c>
      <x:c r="B118" t="str">
        <x:v>operational</x:v>
      </x:c>
      <x:c r="C118" t="str">
        <x:v>Moyar Power House</x:v>
      </x:c>
      <x:c r="D118" t="str">
        <x:v>Tamil Nadu</x:v>
      </x:c>
      <x:c r="E118" t="str">
        <x:v>Nilgiris</x:v>
      </x:c>
      <x:c r="F118" t="str">
        <x:v>1952-04-10</x:v>
      </x:c>
      <x:c r="G118">
        <x:v>14</x:v>
      </x:c>
      <x:c r="H118" t="str">
        <x:v>Tamil Nadu Generation &amp; Distribution Co. Limited (TANGEDCO)</x:v>
      </x:c>
    </x:row>
    <x:row r="119">
      <x:c r="A119" t="str">
        <x:v>Hydro</x:v>
      </x:c>
      <x:c r="B119" t="str">
        <x:v>operational</x:v>
      </x:c>
      <x:c r="C119" t="str">
        <x:v>Moyar Power House</x:v>
      </x:c>
      <x:c r="D119" t="str">
        <x:v>Tamil Nadu</x:v>
      </x:c>
      <x:c r="E119" t="str">
        <x:v>Nilgiris</x:v>
      </x:c>
      <x:c r="F119" t="str">
        <x:v>1952-09-19</x:v>
      </x:c>
      <x:c r="G119">
        <x:v>14</x:v>
      </x:c>
      <x:c r="H119" t="str">
        <x:v>Tamil Nadu Generation &amp; Distribution Co. Limited (TANGEDCO)</x:v>
      </x:c>
    </x:row>
    <x:row r="120">
      <x:c r="A120" t="str">
        <x:v>Hydro</x:v>
      </x:c>
      <x:c r="B120" t="str">
        <x:v>operational</x:v>
      </x:c>
      <x:c r="C120" t="str">
        <x:v>Moyar Power House</x:v>
      </x:c>
      <x:c r="D120" t="str">
        <x:v>Tamil Nadu</x:v>
      </x:c>
      <x:c r="E120" t="str">
        <x:v>Nilgiris</x:v>
      </x:c>
      <x:c r="F120" t="str">
        <x:v>1953-01-06</x:v>
      </x:c>
      <x:c r="G120">
        <x:v>12</x:v>
      </x:c>
      <x:c r="H120" t="str">
        <x:v>Tamil Nadu Generation &amp; Distribution Co. Limited (TANGEDCO)</x:v>
      </x:c>
    </x:row>
    <x:row r="121">
      <x:c r="A121" t="str">
        <x:v>Hydro</x:v>
      </x:c>
      <x:c r="B121" t="str">
        <x:v>operational</x:v>
      </x:c>
      <x:c r="C121" t="str">
        <x:v>Papanasam Hydroelectric Power Project</x:v>
      </x:c>
      <x:c r="D121" t="str">
        <x:v>Tamil Nadu</x:v>
      </x:c>
      <x:c r="E121" t="str">
        <x:v>Tirunelveli</x:v>
      </x:c>
      <x:c r="F121" t="str">
        <x:v>1944-07-08</x:v>
      </x:c>
      <x:c r="G121">
        <x:v>8</x:v>
      </x:c>
      <x:c r="H121" t="str">
        <x:v>Tamil Nadu Generation &amp; Distribution Co. Limited (TANGEDCO)</x:v>
      </x:c>
    </x:row>
    <x:row r="122">
      <x:c r="A122" t="str">
        <x:v>Hydro</x:v>
      </x:c>
      <x:c r="B122" t="str">
        <x:v>operational</x:v>
      </x:c>
      <x:c r="C122" t="str">
        <x:v>Papanasam Hydroelectric Power Project</x:v>
      </x:c>
      <x:c r="D122" t="str">
        <x:v>Tamil Nadu</x:v>
      </x:c>
      <x:c r="E122" t="str">
        <x:v>Tirunelveli</x:v>
      </x:c>
      <x:c r="F122" t="str">
        <x:v>1944-12-12</x:v>
      </x:c>
      <x:c r="G122">
        <x:v>8</x:v>
      </x:c>
      <x:c r="H122" t="str">
        <x:v>Tamil Nadu Generation &amp; Distribution Co. Limited (TANGEDCO)</x:v>
      </x:c>
    </x:row>
    <x:row r="123">
      <x:c r="A123" t="str">
        <x:v>Hydro</x:v>
      </x:c>
      <x:c r="B123" t="str">
        <x:v>operational</x:v>
      </x:c>
      <x:c r="C123" t="str">
        <x:v>Papanasam Hydroelectric Power Project</x:v>
      </x:c>
      <x:c r="D123" t="str">
        <x:v>Tamil Nadu</x:v>
      </x:c>
      <x:c r="E123" t="str">
        <x:v>Tirunelveli</x:v>
      </x:c>
      <x:c r="F123" t="str">
        <x:v>1945-06-10</x:v>
      </x:c>
      <x:c r="G123">
        <x:v>8</x:v>
      </x:c>
      <x:c r="H123" t="str">
        <x:v>Tamil Nadu Generation &amp; Distribution Co. Limited (TANGEDCO)</x:v>
      </x:c>
    </x:row>
    <x:row r="124">
      <x:c r="A124" t="str">
        <x:v>Hydro</x:v>
      </x:c>
      <x:c r="B124" t="str">
        <x:v>operational</x:v>
      </x:c>
      <x:c r="C124" t="str">
        <x:v>Papanasam Hydroelectric Power Project</x:v>
      </x:c>
      <x:c r="D124" t="str">
        <x:v>Tamil Nadu</x:v>
      </x:c>
      <x:c r="E124" t="str">
        <x:v>Tirunelveli</x:v>
      </x:c>
      <x:c r="F124" t="str">
        <x:v>1951-07-08</x:v>
      </x:c>
      <x:c r="G124">
        <x:v>8</x:v>
      </x:c>
      <x:c r="H124" t="str">
        <x:v>Tamil Nadu Generation &amp; Distribution Co. Limited (TANGEDCO)</x:v>
      </x:c>
    </x:row>
    <x:row r="125">
      <x:c r="A125" t="str">
        <x:v>Hydro</x:v>
      </x:c>
      <x:c r="B125" t="str">
        <x:v>operational</x:v>
      </x:c>
      <x:c r="C125" t="str">
        <x:v>Parson's Valley Hydroelectric Power Project</x:v>
      </x:c>
      <x:c r="D125" t="str">
        <x:v>Tamil Nadu</x:v>
      </x:c>
      <x:c r="E125" t="str">
        <x:v>Nilgiris</x:v>
      </x:c>
      <x:c r="F125" t="str">
        <x:v>2000-06-22</x:v>
      </x:c>
      <x:c r="G125">
        <x:v>30</x:v>
      </x:c>
      <x:c r="H125" t="str">
        <x:v>Tamil Nadu Generation &amp; Distribution Co. Limited (TANGEDCO)</x:v>
      </x:c>
    </x:row>
    <x:row r="126">
      <x:c r="A126" t="str">
        <x:v>Hydro</x:v>
      </x:c>
      <x:c r="B126" t="str">
        <x:v>operational</x:v>
      </x:c>
      <x:c r="C126" t="str">
        <x:v>Periyar Hydroelectric Power Project</x:v>
      </x:c>
      <x:c r="D126" t="str">
        <x:v>Tamil Nadu</x:v>
      </x:c>
      <x:c r="E126" t="str">
        <x:v>Theni</x:v>
      </x:c>
      <x:c r="F126" t="str">
        <x:v>1958-10-12</x:v>
      </x:c>
      <x:c r="G126">
        <x:v>42</x:v>
      </x:c>
      <x:c r="H126" t="str">
        <x:v>Tamil Nadu Generation &amp; Distribution Co. Limited (TANGEDCO)</x:v>
      </x:c>
    </x:row>
    <x:row r="127">
      <x:c r="A127" t="str">
        <x:v>Hydro</x:v>
      </x:c>
      <x:c r="B127" t="str">
        <x:v>operational</x:v>
      </x:c>
      <x:c r="C127" t="str">
        <x:v>Periyar Hydroelectric Power Project</x:v>
      </x:c>
      <x:c r="D127" t="str">
        <x:v>Tamil Nadu</x:v>
      </x:c>
      <x:c r="E127" t="str">
        <x:v>Theni</x:v>
      </x:c>
      <x:c r="F127" t="str">
        <x:v>1959-02-19</x:v>
      </x:c>
      <x:c r="G127">
        <x:v>42</x:v>
      </x:c>
      <x:c r="H127" t="str">
        <x:v>Tamil Nadu Generation &amp; Distribution Co. Limited (TANGEDCO)</x:v>
      </x:c>
    </x:row>
    <x:row r="128">
      <x:c r="A128" t="str">
        <x:v>Hydro</x:v>
      </x:c>
      <x:c r="B128" t="str">
        <x:v>operational</x:v>
      </x:c>
      <x:c r="C128" t="str">
        <x:v>Periyar Hydroelectric Power Project</x:v>
      </x:c>
      <x:c r="D128" t="str">
        <x:v>Tamil Nadu</x:v>
      </x:c>
      <x:c r="E128" t="str">
        <x:v>Theni</x:v>
      </x:c>
      <x:c r="F128" t="str">
        <x:v>1959-06-07</x:v>
      </x:c>
      <x:c r="G128">
        <x:v>42</x:v>
      </x:c>
      <x:c r="H128" t="str">
        <x:v>Tamil Nadu Generation &amp; Distribution Co. Limited (TANGEDCO)</x:v>
      </x:c>
    </x:row>
    <x:row r="129">
      <x:c r="A129" t="str">
        <x:v>Hydro</x:v>
      </x:c>
      <x:c r="B129" t="str">
        <x:v>operational</x:v>
      </x:c>
      <x:c r="C129" t="str">
        <x:v>Periyar Hydroelectric Power Project</x:v>
      </x:c>
      <x:c r="D129" t="str">
        <x:v>Tamil Nadu</x:v>
      </x:c>
      <x:c r="E129" t="str">
        <x:v>Theni</x:v>
      </x:c>
      <x:c r="F129" t="str">
        <x:v>1965-12-22</x:v>
      </x:c>
      <x:c r="G129">
        <x:v>42</x:v>
      </x:c>
      <x:c r="H129" t="str">
        <x:v>Tamil Nadu Generation &amp; Distribution Co. Limited (TANGEDCO)</x:v>
      </x:c>
    </x:row>
    <x:row r="130">
      <x:c r="A130" t="str">
        <x:v>Hydro</x:v>
      </x:c>
      <x:c r="B130" t="str">
        <x:v>operational</x:v>
      </x:c>
      <x:c r="C130" t="str">
        <x:v>Pykara Hydroelectric Power Project</x:v>
      </x:c>
      <x:c r="D130" t="str">
        <x:v>Tamil Nadu</x:v>
      </x:c>
      <x:c r="E130" t="str">
        <x:v>Nilgiris</x:v>
      </x:c>
      <x:c r="F130" t="str">
        <x:v>1932-06-09</x:v>
      </x:c>
      <x:c r="G130">
        <x:v>7</x:v>
      </x:c>
      <x:c r="H130" t="str">
        <x:v>Tamil Nadu Generation &amp; Distribution Co. Limited (TANGEDCO)</x:v>
      </x:c>
    </x:row>
    <x:row r="131">
      <x:c r="A131" t="str">
        <x:v>Hydro</x:v>
      </x:c>
      <x:c r="B131" t="str">
        <x:v>operational</x:v>
      </x:c>
      <x:c r="C131" t="str">
        <x:v>Pykara Hydroelectric Power Project</x:v>
      </x:c>
      <x:c r="D131" t="str">
        <x:v>Tamil Nadu</x:v>
      </x:c>
      <x:c r="E131" t="str">
        <x:v>Nilgiris</x:v>
      </x:c>
      <x:c r="F131" t="str">
        <x:v>1932-11-22</x:v>
      </x:c>
      <x:c r="G131">
        <x:v>7</x:v>
      </x:c>
      <x:c r="H131" t="str">
        <x:v>Tamil Nadu Generation &amp; Distribution Co. Limited (TANGEDCO)</x:v>
      </x:c>
    </x:row>
    <x:row r="132">
      <x:c r="A132" t="str">
        <x:v>Hydro</x:v>
      </x:c>
      <x:c r="B132" t="str">
        <x:v>operational</x:v>
      </x:c>
      <x:c r="C132" t="str">
        <x:v>Pykara Hydroelectric Power Project</x:v>
      </x:c>
      <x:c r="D132" t="str">
        <x:v>Tamil Nadu</x:v>
      </x:c>
      <x:c r="E132" t="str">
        <x:v>Nilgiris</x:v>
      </x:c>
      <x:c r="F132" t="str">
        <x:v>1933-09-05</x:v>
      </x:c>
      <x:c r="G132">
        <x:v>7</x:v>
      </x:c>
      <x:c r="H132" t="str">
        <x:v>Tamil Nadu Generation &amp; Distribution Co. Limited (TANGEDCO)</x:v>
      </x:c>
    </x:row>
    <x:row r="133">
      <x:c r="A133" t="str">
        <x:v>Hydro</x:v>
      </x:c>
      <x:c r="B133" t="str">
        <x:v>operational</x:v>
      </x:c>
      <x:c r="C133" t="str">
        <x:v>Pykara Hydroelectric Power Project</x:v>
      </x:c>
      <x:c r="D133" t="str">
        <x:v>Tamil Nadu</x:v>
      </x:c>
      <x:c r="E133" t="str">
        <x:v>Nilgiris</x:v>
      </x:c>
      <x:c r="F133" t="str">
        <x:v>1939-08-28</x:v>
      </x:c>
      <x:c r="G133">
        <x:v>13.6</x:v>
      </x:c>
      <x:c r="H133" t="str">
        <x:v>Tamil Nadu Generation &amp; Distribution Co. Limited (TANGEDCO)</x:v>
      </x:c>
    </x:row>
    <x:row r="134">
      <x:c r="A134" t="str">
        <x:v>Hydro</x:v>
      </x:c>
      <x:c r="B134" t="str">
        <x:v>operational</x:v>
      </x:c>
      <x:c r="C134" t="str">
        <x:v>Pykara Hydroelectric Power Project</x:v>
      </x:c>
      <x:c r="D134" t="str">
        <x:v>Tamil Nadu</x:v>
      </x:c>
      <x:c r="E134" t="str">
        <x:v>Nilgiris</x:v>
      </x:c>
      <x:c r="F134" t="str">
        <x:v>1954-05-30</x:v>
      </x:c>
      <x:c r="G134">
        <x:v>13.6</x:v>
      </x:c>
      <x:c r="H134" t="str">
        <x:v>Tamil Nadu Generation &amp; Distribution Co. Limited (TANGEDCO)</x:v>
      </x:c>
    </x:row>
    <x:row r="135">
      <x:c r="A135" t="str">
        <x:v>Hydro</x:v>
      </x:c>
      <x:c r="B135" t="str">
        <x:v>operational</x:v>
      </x:c>
      <x:c r="C135" t="str">
        <x:v>Pykara Hydroelectric Power Project</x:v>
      </x:c>
      <x:c r="D135" t="str">
        <x:v>Tamil Nadu</x:v>
      </x:c>
      <x:c r="E135" t="str">
        <x:v>Nilgiris</x:v>
      </x:c>
      <x:c r="F135" t="str">
        <x:v>1954-06-11</x:v>
      </x:c>
      <x:c r="G135">
        <x:v>11</x:v>
      </x:c>
      <x:c r="H135" t="str">
        <x:v>Tamil Nadu Generation &amp; Distribution Co. Limited (TANGEDCO)</x:v>
      </x:c>
    </x:row>
    <x:row r="136">
      <x:c r="A136" t="str">
        <x:v>Hydro</x:v>
      </x:c>
      <x:c r="B136" t="str">
        <x:v>operational</x:v>
      </x:c>
      <x:c r="C136" t="str">
        <x:v>Pykara Ultimate Hydroelectric Power Project</x:v>
      </x:c>
      <x:c r="D136" t="str">
        <x:v>Tamil Nadu</x:v>
      </x:c>
      <x:c r="E136" t="str">
        <x:v>Nilgiris</x:v>
      </x:c>
      <x:c r="F136" t="str">
        <x:v>2005-09-06</x:v>
      </x:c>
      <x:c r="G136">
        <x:v>50</x:v>
      </x:c>
      <x:c r="H136" t="str">
        <x:v>Tamil Nadu Generation &amp; Distribution Co. Limited (TANGEDCO)</x:v>
      </x:c>
    </x:row>
    <x:row r="137">
      <x:c r="A137" t="str">
        <x:v>Hydro</x:v>
      </x:c>
      <x:c r="B137" t="str">
        <x:v>operational</x:v>
      </x:c>
      <x:c r="C137" t="str">
        <x:v>Pykara Ultimate Hydroelectric Power Project</x:v>
      </x:c>
      <x:c r="D137" t="str">
        <x:v>Tamil Nadu</x:v>
      </x:c>
      <x:c r="E137" t="str">
        <x:v>Nilgiris</x:v>
      </x:c>
      <x:c r="F137" t="str">
        <x:v>2005-09-06</x:v>
      </x:c>
      <x:c r="G137">
        <x:v>50</x:v>
      </x:c>
      <x:c r="H137" t="str">
        <x:v>Tamil Nadu Generation &amp; Distribution Co. Limited (TANGEDCO)</x:v>
      </x:c>
    </x:row>
    <x:row r="138">
      <x:c r="A138" t="str">
        <x:v>Hydro</x:v>
      </x:c>
      <x:c r="B138" t="str">
        <x:v>operational</x:v>
      </x:c>
      <x:c r="C138" t="str">
        <x:v>Pykara Ultimate Hydroelectric Power Project</x:v>
      </x:c>
      <x:c r="D138" t="str">
        <x:v>Tamil Nadu</x:v>
      </x:c>
      <x:c r="E138" t="str">
        <x:v>Nilgiris</x:v>
      </x:c>
      <x:c r="F138" t="str">
        <x:v>2005-09-06</x:v>
      </x:c>
      <x:c r="G138">
        <x:v>50</x:v>
      </x:c>
      <x:c r="H138" t="str">
        <x:v>Tamil Nadu Generation &amp; Distribution Co. Limited (TANGEDCO)</x:v>
      </x:c>
    </x:row>
    <x:row r="139">
      <x:c r="A139" t="str">
        <x:v>Hydro</x:v>
      </x:c>
      <x:c r="B139" t="str">
        <x:v>operational</x:v>
      </x:c>
      <x:c r="C139" t="str">
        <x:v>Sarkarpathy Hydroelectric Power Project</x:v>
      </x:c>
      <x:c r="D139" t="str">
        <x:v>Tamil Nadu</x:v>
      </x:c>
      <x:c r="E139" t="str">
        <x:v>Coimbatore</x:v>
      </x:c>
      <x:c r="F139" t="str">
        <x:v>1966-08-14</x:v>
      </x:c>
      <x:c r="G139">
        <x:v>30</x:v>
      </x:c>
      <x:c r="H139" t="str">
        <x:v>Tamil Nadu Generation &amp; Distribution Co. Limited (TANGEDCO)</x:v>
      </x:c>
    </x:row>
    <x:row r="140">
      <x:c r="A140" t="str">
        <x:v>Hydro</x:v>
      </x:c>
      <x:c r="B140" t="str">
        <x:v>operational</x:v>
      </x:c>
      <x:c r="C140" t="str">
        <x:v>Sholayar I Power House</x:v>
      </x:c>
      <x:c r="D140" t="str">
        <x:v>Tamil Nadu</x:v>
      </x:c>
      <x:c r="E140" t="str">
        <x:v>Coimbatore</x:v>
      </x:c>
      <x:c r="F140" t="str">
        <x:v>1971-04-22</x:v>
      </x:c>
      <x:c r="G140">
        <x:v>42</x:v>
      </x:c>
      <x:c r="H140" t="str">
        <x:v>Tamil Nadu Generation &amp; Distribution Co. Limited (TANGEDCO)</x:v>
      </x:c>
    </x:row>
    <x:row r="141">
      <x:c r="A141" t="str">
        <x:v>Hydro</x:v>
      </x:c>
      <x:c r="B141" t="str">
        <x:v>operational</x:v>
      </x:c>
      <x:c r="C141" t="str">
        <x:v>Sholayar I Power House</x:v>
      </x:c>
      <x:c r="D141" t="str">
        <x:v>Tamil Nadu</x:v>
      </x:c>
      <x:c r="E141" t="str">
        <x:v>Coimbatore</x:v>
      </x:c>
      <x:c r="F141" t="str">
        <x:v>1971-05-04</x:v>
      </x:c>
      <x:c r="G141">
        <x:v>42</x:v>
      </x:c>
      <x:c r="H141" t="str">
        <x:v>Tamil Nadu Generation &amp; Distribution Co. Limited (TANGEDCO)</x:v>
      </x:c>
    </x:row>
    <x:row r="142">
      <x:c r="A142" t="str">
        <x:v>Hydro</x:v>
      </x:c>
      <x:c r="B142" t="str">
        <x:v>operational</x:v>
      </x:c>
      <x:c r="C142" t="str">
        <x:v>Suruliyar Hydroelectric Power Project</x:v>
      </x:c>
      <x:c r="D142" t="str">
        <x:v>Tamil Nadu</x:v>
      </x:c>
      <x:c r="E142" t="str">
        <x:v>Theni</x:v>
      </x:c>
      <x:c r="F142" t="str">
        <x:v>1978-08-27</x:v>
      </x:c>
      <x:c r="G142">
        <x:v>35</x:v>
      </x:c>
      <x:c r="H142" t="str">
        <x:v>Tamil Nadu Generation &amp; Distribution Co. Limited (TANGEDCO)</x:v>
      </x:c>
    </x:row>
    <x:row r="143">
      <x:c r="A143" t="str">
        <x:v>Wind</x:v>
      </x:c>
      <x:c r="B143" t="str">
        <x:v>pipeline</x:v>
      </x:c>
      <x:c r="C143" t="str">
        <x:v>151 MW SJVN Wind Palayam Green Shoe Tamil Nadu Karur</x:v>
      </x:c>
      <x:c r="D143" t="str">
        <x:v>Tamil Nadu</x:v>
      </x:c>
      <x:c r="E143" t="str">
        <x:v>Karur</x:v>
      </x:c>
      <x:c r="G143">
        <x:v>151.2</x:v>
      </x:c>
    </x:row>
    <x:row r="144">
      <x:c r="A144" t="str">
        <x:v>Wind</x:v>
      </x:c>
      <x:c r="B144" t="str">
        <x:v>pipeline</x:v>
      </x:c>
      <x:c r="C144" t="str">
        <x:v>151.2 MW Wind SJVN FDRE Basis LOA Tamil Nadu Karur</x:v>
      </x:c>
      <x:c r="D144" t="str">
        <x:v>Tamil Nadu</x:v>
      </x:c>
      <x:c r="E144" t="str">
        <x:v>Karur</x:v>
      </x:c>
      <x:c r="G144">
        <x:v>151.2</x:v>
      </x:c>
    </x:row>
    <x:row r="145">
      <x:c r="A145" t="str">
        <x:v>Wind</x:v>
      </x:c>
      <x:c r="B145" t="str">
        <x:v>pipeline</x:v>
      </x:c>
      <x:c r="C145" t="str">
        <x:v>82.5 MW NTPC FDRE Wind Tamil Nadu Karur</x:v>
      </x:c>
      <x:c r="D145" t="str">
        <x:v>Tamil Nadu</x:v>
      </x:c>
      <x:c r="E145" t="str">
        <x:v>Karur</x:v>
      </x:c>
      <x:c r="G145">
        <x:v>82.5</x:v>
      </x:c>
    </x:row>
    <x:row r="146">
      <x:c r="A146" t="str">
        <x:v>Wind</x:v>
      </x:c>
      <x:c r="B146" t="str">
        <x:v>pipeline</x:v>
      </x:c>
      <x:c r="C146" t="str">
        <x:v>93.6 MW Karur - SJVN FDRE Green Shoe Tamil Nadu Karur</x:v>
      </x:c>
      <x:c r="D146" t="str">
        <x:v>Tamil Nadu</x:v>
      </x:c>
      <x:c r="E146" t="str">
        <x:v>Karur</x:v>
      </x:c>
      <x:c r="G146">
        <x:v>93.6</x:v>
      </x:c>
    </x:row>
    <x:row r="147">
      <x:c r="A147" t="str">
        <x:v>Wind</x:v>
      </x:c>
      <x:c r="B147" t="str">
        <x:v>pipeline</x:v>
      </x:c>
      <x:c r="C147" t="str">
        <x:v>Amplus Sun Beat Private Limited Tamil Nadu Karur</x:v>
      </x:c>
      <x:c r="D147" t="str">
        <x:v>Tamil Nadu</x:v>
      </x:c>
      <x:c r="E147" t="str">
        <x:v>Karur</x:v>
      </x:c>
      <x:c r="G147">
        <x:v>80</x:v>
      </x:c>
    </x:row>
    <x:row r="148">
      <x:c r="A148" t="str">
        <x:v>Wind</x:v>
      </x:c>
      <x:c r="B148" t="str">
        <x:v>pipeline</x:v>
      </x:c>
      <x:c r="C148" t="str">
        <x:v>Amplus Theta Energy Private Limited Tamil Nadu Karur</x:v>
      </x:c>
      <x:c r="D148" t="str">
        <x:v>Tamil Nadu</x:v>
      </x:c>
      <x:c r="E148" t="str">
        <x:v>Karur</x:v>
      </x:c>
      <x:c r="G148">
        <x:v>65</x:v>
      </x:c>
    </x:row>
    <x:row r="149">
      <x:c r="A149" t="str">
        <x:v>Wind</x:v>
      </x:c>
      <x:c r="B149" t="str">
        <x:v>pipeline</x:v>
      </x:c>
      <x:c r="C149" t="str">
        <x:v>Jindal Renewables - Wind Project - C&amp;I Tamil Nadu Karur</x:v>
      </x:c>
      <x:c r="D149" t="str">
        <x:v>Tamil Nadu</x:v>
      </x:c>
      <x:c r="E149" t="str">
        <x:v>Karur</x:v>
      </x:c>
      <x:c r="G149">
        <x:v>300</x:v>
      </x:c>
    </x:row>
    <x:row r="150">
      <x:c r="A150" t="str">
        <x:v>Wind</x:v>
      </x:c>
      <x:c r="B150" t="str">
        <x:v>pipeline</x:v>
      </x:c>
      <x:c r="C150" t="str">
        <x:v>Jindal Renewables - Wind Project - C&amp;I Tamil Nadu Karur</x:v>
      </x:c>
      <x:c r="D150" t="str">
        <x:v>Tamil Nadu</x:v>
      </x:c>
      <x:c r="E150" t="str">
        <x:v>Karur</x:v>
      </x:c>
      <x:c r="G150">
        <x:v>50</x:v>
      </x:c>
    </x:row>
    <x:row r="151">
      <x:c r="A151" t="str">
        <x:v>Wind</x:v>
      </x:c>
      <x:c r="B151" t="str">
        <x:v>operational</x:v>
      </x:c>
      <x:c r="C151" t="str">
        <x:v>Tamil Nadu-Ariyalur</x:v>
      </x:c>
      <x:c r="D151" t="str">
        <x:v>Tamil Nadu</x:v>
      </x:c>
      <x:c r="E151" t="str">
        <x:v>Ariyalur</x:v>
      </x:c>
      <x:c r="G151">
        <x:v>22</x:v>
      </x:c>
    </x:row>
    <x:row r="152">
      <x:c r="A152" t="str">
        <x:v>Wind</x:v>
      </x:c>
      <x:c r="B152" t="str">
        <x:v>operational</x:v>
      </x:c>
      <x:c r="C152" t="str">
        <x:v>Tamil Nadu-Chennai</x:v>
      </x:c>
      <x:c r="D152" t="str">
        <x:v>Tamil Nadu</x:v>
      </x:c>
      <x:c r="E152" t="str">
        <x:v>Chennai</x:v>
      </x:c>
      <x:c r="G152">
        <x:v>3.125</x:v>
      </x:c>
    </x:row>
    <x:row r="153">
      <x:c r="A153" t="str">
        <x:v>Wind</x:v>
      </x:c>
      <x:c r="B153" t="str">
        <x:v>operational</x:v>
      </x:c>
      <x:c r="C153" t="str">
        <x:v>Tamil Nadu-Coimbatore</x:v>
      </x:c>
      <x:c r="D153" t="str">
        <x:v>Tamil Nadu</x:v>
      </x:c>
      <x:c r="E153" t="str">
        <x:v>Coimbatore</x:v>
      </x:c>
      <x:c r="G153">
        <x:v>2260.1875</x:v>
      </x:c>
    </x:row>
    <x:row r="154">
      <x:c r="A154" t="str">
        <x:v>Wind</x:v>
      </x:c>
      <x:c r="B154" t="str">
        <x:v>operational</x:v>
      </x:c>
      <x:c r="C154" t="str">
        <x:v>Tamil Nadu-Dharmapuri</x:v>
      </x:c>
      <x:c r="D154" t="str">
        <x:v>Tamil Nadu</x:v>
      </x:c>
      <x:c r="E154" t="str">
        <x:v>Dharmapuri</x:v>
      </x:c>
      <x:c r="G154">
        <x:v>196</x:v>
      </x:c>
    </x:row>
    <x:row r="155">
      <x:c r="A155" t="str">
        <x:v>Wind</x:v>
      </x:c>
      <x:c r="B155" t="str">
        <x:v>operational</x:v>
      </x:c>
      <x:c r="C155" t="str">
        <x:v>Tamil Nadu-Dindigul</x:v>
      </x:c>
      <x:c r="D155" t="str">
        <x:v>Tamil Nadu</x:v>
      </x:c>
      <x:c r="E155" t="str">
        <x:v>Dindigul</x:v>
      </x:c>
      <x:c r="G155">
        <x:v>635.2675</x:v>
      </x:c>
    </x:row>
    <x:row r="156">
      <x:c r="A156" t="str">
        <x:v>Wind</x:v>
      </x:c>
      <x:c r="B156" t="str">
        <x:v>operational</x:v>
      </x:c>
      <x:c r="C156" t="str">
        <x:v>Tamil Nadu-Erode</x:v>
      </x:c>
      <x:c r="D156" t="str">
        <x:v>Tamil Nadu</x:v>
      </x:c>
      <x:c r="E156" t="str">
        <x:v>Erode</x:v>
      </x:c>
      <x:c r="G156">
        <x:v>129.33</x:v>
      </x:c>
    </x:row>
    <x:row r="157">
      <x:c r="A157" t="str">
        <x:v>Wind</x:v>
      </x:c>
      <x:c r="B157" t="str">
        <x:v>operational</x:v>
      </x:c>
      <x:c r="C157" t="str">
        <x:v>Tamil Nadu-Kancheepuram</x:v>
      </x:c>
      <x:c r="D157" t="str">
        <x:v>Tamil Nadu</x:v>
      </x:c>
      <x:c r="E157" t="str">
        <x:v>Kancheepuram</x:v>
      </x:c>
      <x:c r="G157">
        <x:v>7.65</x:v>
      </x:c>
    </x:row>
    <x:row r="158">
      <x:c r="A158" t="str">
        <x:v>Wind</x:v>
      </x:c>
      <x:c r="B158" t="str">
        <x:v>operational</x:v>
      </x:c>
      <x:c r="C158" t="str">
        <x:v>Tamil Nadu-Kanniyakumari</x:v>
      </x:c>
      <x:c r="D158" t="str">
        <x:v>Tamil Nadu</x:v>
      </x:c>
      <x:c r="E158" t="str">
        <x:v>Kanniyakumari</x:v>
      </x:c>
      <x:c r="G158">
        <x:v>349.125</x:v>
      </x:c>
    </x:row>
    <x:row r="159">
      <x:c r="A159" t="str">
        <x:v>Wind</x:v>
      </x:c>
      <x:c r="B159" t="str">
        <x:v>operational</x:v>
      </x:c>
      <x:c r="C159" t="str">
        <x:v>Tamil Nadu-Karur</x:v>
      </x:c>
      <x:c r="D159" t="str">
        <x:v>Tamil Nadu</x:v>
      </x:c>
      <x:c r="E159" t="str">
        <x:v>Karur</x:v>
      </x:c>
      <x:c r="G159">
        <x:v>589.1025000000009</x:v>
      </x:c>
    </x:row>
    <x:row r="160">
      <x:c r="A160" t="str">
        <x:v>Wind</x:v>
      </x:c>
      <x:c r="B160" t="str">
        <x:v>operational</x:v>
      </x:c>
      <x:c r="C160" t="str">
        <x:v>Tamil Nadu-N.A.</x:v>
      </x:c>
      <x:c r="D160" t="str">
        <x:v>Tamil Nadu</x:v>
      </x:c>
      <x:c r="E160" t="str">
        <x:v>N.A.</x:v>
      </x:c>
      <x:c r="G160">
        <x:v>279.51</x:v>
      </x:c>
    </x:row>
    <x:row r="161">
      <x:c r="A161" t="str">
        <x:v>Wind</x:v>
      </x:c>
      <x:c r="B161" t="str">
        <x:v>operational</x:v>
      </x:c>
      <x:c r="C161" t="str">
        <x:v>Tamil Nadu-Ramanathapuram</x:v>
      </x:c>
      <x:c r="D161" t="str">
        <x:v>Tamil Nadu</x:v>
      </x:c>
      <x:c r="E161" t="str">
        <x:v>Ramanathapuram</x:v>
      </x:c>
      <x:c r="G161">
        <x:v>17.4</x:v>
      </x:c>
    </x:row>
    <x:row r="162">
      <x:c r="A162" t="str">
        <x:v>Wind</x:v>
      </x:c>
      <x:c r="B162" t="str">
        <x:v>operational</x:v>
      </x:c>
      <x:c r="C162" t="str">
        <x:v>Tamil Nadu-Salem</x:v>
      </x:c>
      <x:c r="D162" t="str">
        <x:v>Tamil Nadu</x:v>
      </x:c>
      <x:c r="E162" t="str">
        <x:v>Salem</x:v>
      </x:c>
      <x:c r="G162">
        <x:v>3.4</x:v>
      </x:c>
    </x:row>
    <x:row r="163">
      <x:c r="A163" t="str">
        <x:v>Wind</x:v>
      </x:c>
      <x:c r="B163" t="str">
        <x:v>operational</x:v>
      </x:c>
      <x:c r="C163" t="str">
        <x:v>Tamil Nadu-Thanjavur</x:v>
      </x:c>
      <x:c r="D163" t="str">
        <x:v>Tamil Nadu</x:v>
      </x:c>
      <x:c r="E163" t="str">
        <x:v>Thanjavur</x:v>
      </x:c>
      <x:c r="G163">
        <x:v>8.8</x:v>
      </x:c>
    </x:row>
    <x:row r="164">
      <x:c r="A164" t="str">
        <x:v>Wind</x:v>
      </x:c>
      <x:c r="B164" t="str">
        <x:v>operational</x:v>
      </x:c>
      <x:c r="C164" t="str">
        <x:v>Tamil Nadu-Theni</x:v>
      </x:c>
      <x:c r="D164" t="str">
        <x:v>Tamil Nadu</x:v>
      </x:c>
      <x:c r="E164" t="str">
        <x:v>Theni</x:v>
      </x:c>
      <x:c r="G164">
        <x:v>574.6</x:v>
      </x:c>
    </x:row>
    <x:row r="165">
      <x:c r="A165" t="str">
        <x:v>Wind</x:v>
      </x:c>
      <x:c r="B165" t="str">
        <x:v>operational</x:v>
      </x:c>
      <x:c r="C165" t="str">
        <x:v>Tamil Nadu-Thiruvallur</x:v>
      </x:c>
      <x:c r="D165" t="str">
        <x:v>Tamil Nadu</x:v>
      </x:c>
      <x:c r="E165" t="str">
        <x:v>Thiruvallur</x:v>
      </x:c>
      <x:c r="G165">
        <x:v>7.2</x:v>
      </x:c>
    </x:row>
    <x:row r="166">
      <x:c r="A166" t="str">
        <x:v>Wind</x:v>
      </x:c>
      <x:c r="B166" t="str">
        <x:v>operational</x:v>
      </x:c>
      <x:c r="C166" t="str">
        <x:v>Tamil Nadu-Thoothukkudi</x:v>
      </x:c>
      <x:c r="D166" t="str">
        <x:v>Tamil Nadu</x:v>
      </x:c>
      <x:c r="E166" t="str">
        <x:v>Thoothukkudi</x:v>
      </x:c>
      <x:c r="G166">
        <x:v>2174.3775</x:v>
      </x:c>
    </x:row>
    <x:row r="167">
      <x:c r="A167" t="str">
        <x:v>Wind</x:v>
      </x:c>
      <x:c r="B167" t="str">
        <x:v>operational</x:v>
      </x:c>
      <x:c r="C167" t="str">
        <x:v>Tamil Nadu-Tiruchirappalli</x:v>
      </x:c>
      <x:c r="D167" t="str">
        <x:v>Tamil Nadu</x:v>
      </x:c>
      <x:c r="E167" t="str">
        <x:v>Tiruchirappalli</x:v>
      </x:c>
      <x:c r="G167">
        <x:v>6.4</x:v>
      </x:c>
    </x:row>
    <x:row r="168">
      <x:c r="A168" t="str">
        <x:v>Wind</x:v>
      </x:c>
      <x:c r="B168" t="str">
        <x:v>operational</x:v>
      </x:c>
      <x:c r="C168" t="str">
        <x:v>Tamil Nadu-Tirunelveli</x:v>
      </x:c>
      <x:c r="D168" t="str">
        <x:v>Tamil Nadu</x:v>
      </x:c>
      <x:c r="E168" t="str">
        <x:v>Tirunelveli</x:v>
      </x:c>
      <x:c r="G168">
        <x:v>3807.5405000000005</x:v>
      </x:c>
    </x:row>
    <x:row r="169">
      <x:c r="A169" t="str">
        <x:v>Wind</x:v>
      </x:c>
      <x:c r="B169" t="str">
        <x:v>operational</x:v>
      </x:c>
      <x:c r="C169" t="str">
        <x:v>Tamil Nadu-Tiruppur</x:v>
      </x:c>
      <x:c r="D169" t="str">
        <x:v>Tamil Nadu</x:v>
      </x:c>
      <x:c r="E169" t="str">
        <x:v>Tiruppur</x:v>
      </x:c>
      <x:c r="G169">
        <x:v>786.8149999999999</x:v>
      </x:c>
    </x:row>
    <x:row r="170">
      <x:c r="A170" t="str">
        <x:v>Wind</x:v>
      </x:c>
      <x:c r="B170" t="str">
        <x:v>operational</x:v>
      </x:c>
      <x:c r="C170" t="str">
        <x:v>Tamil Nadu-Tiruppur &amp; Karur</x:v>
      </x:c>
      <x:c r="D170" t="str">
        <x:v>Tamil Nadu</x:v>
      </x:c>
      <x:c r="E170" t="str">
        <x:v>Tiruppur &amp; Karur</x:v>
      </x:c>
      <x:c r="G170">
        <x:v>300</x:v>
      </x:c>
    </x:row>
    <x:row r="171">
      <x:c r="A171" t="str">
        <x:v>Wind</x:v>
      </x:c>
      <x:c r="B171" t="str">
        <x:v>operational</x:v>
      </x:c>
      <x:c r="C171" t="str">
        <x:v>Tamil Nadu-Viluppuram</x:v>
      </x:c>
      <x:c r="D171" t="str">
        <x:v>Tamil Nadu</x:v>
      </x:c>
      <x:c r="E171" t="str">
        <x:v>Viluppuram</x:v>
      </x:c>
      <x:c r="G171">
        <x:v>1.7</x:v>
      </x:c>
    </x:row>
    <x:row r="172">
      <x:c r="A172" t="str">
        <x:v>Solar</x:v>
      </x:c>
      <x:c r="B172" t="str">
        <x:v>pipeline</x:v>
      </x:c>
      <x:c r="C172" t="str">
        <x:v>INGEL Tamil Nadu 200.0</x:v>
      </x:c>
      <x:c r="D172" t="str">
        <x:v>Tamil Nadu</x:v>
      </x:c>
      <x:c r="E172" t="str">
        <x:v>Thoothukudi</x:v>
      </x:c>
      <x:c r="F172" t="str">
        <x:v>2027-12-31</x:v>
      </x:c>
      <x:c r="G172">
        <x:v>200</x:v>
      </x:c>
      <x:c r="H172" t="str">
        <x:v>INGEL</x:v>
      </x:c>
    </x:row>
    <x:row r="173">
      <x:c r="A173" t="str">
        <x:v>Solar</x:v>
      </x:c>
      <x:c r="B173" t="str">
        <x:v>operational</x:v>
      </x:c>
      <x:c r="C173" t="str">
        <x:v>Tamil Nadu Chennai 16</x:v>
      </x:c>
      <x:c r="D173" t="str">
        <x:v>Tamil Nadu</x:v>
      </x:c>
      <x:c r="E173" t="str">
        <x:v>Chennai</x:v>
      </x:c>
      <x:c r="G173">
        <x:v>16</x:v>
      </x:c>
    </x:row>
    <x:row r="174">
      <x:c r="A174" t="str">
        <x:v>Solar</x:v>
      </x:c>
      <x:c r="B174" t="str">
        <x:v>operational</x:v>
      </x:c>
      <x:c r="C174" t="str">
        <x:v>Tamil Nadu Coimbatore 11.26</x:v>
      </x:c>
      <x:c r="D174" t="str">
        <x:v>Tamil Nadu</x:v>
      </x:c>
      <x:c r="E174" t="str">
        <x:v>Coimbatore</x:v>
      </x:c>
      <x:c r="G174">
        <x:v>11.26</x:v>
      </x:c>
    </x:row>
    <x:row r="175">
      <x:c r="A175" t="str">
        <x:v>Solar</x:v>
      </x:c>
      <x:c r="B175" t="str">
        <x:v>operational</x:v>
      </x:c>
      <x:c r="C175" t="str">
        <x:v>Tamil Nadu Cuddalore 140</x:v>
      </x:c>
      <x:c r="D175" t="str">
        <x:v>Tamil Nadu</x:v>
      </x:c>
      <x:c r="E175" t="str">
        <x:v>Cuddalore</x:v>
      </x:c>
      <x:c r="G175">
        <x:v>140</x:v>
      </x:c>
    </x:row>
    <x:row r="176">
      <x:c r="A176" t="str">
        <x:v>Solar</x:v>
      </x:c>
      <x:c r="B176" t="str">
        <x:v>operational</x:v>
      </x:c>
      <x:c r="C176" t="str">
        <x:v>Tamil Nadu Dindigul 109.46</x:v>
      </x:c>
      <x:c r="D176" t="str">
        <x:v>Tamil Nadu</x:v>
      </x:c>
      <x:c r="E176" t="str">
        <x:v>Dindigul</x:v>
      </x:c>
      <x:c r="G176">
        <x:v>109.46</x:v>
      </x:c>
    </x:row>
    <x:row r="177">
      <x:c r="A177" t="str">
        <x:v>Solar</x:v>
      </x:c>
      <x:c r="B177" t="str">
        <x:v>operational</x:v>
      </x:c>
      <x:c r="C177" t="str">
        <x:v>Tamil Nadu Erode  7</x:v>
      </x:c>
      <x:c r="D177" t="str">
        <x:v>Tamil Nadu</x:v>
      </x:c>
      <x:c r="E177" t="str">
        <x:v>Erode</x:v>
      </x:c>
      <x:c r="G177">
        <x:v>7</x:v>
      </x:c>
    </x:row>
    <x:row r="178">
      <x:c r="A178" t="str">
        <x:v>Solar</x:v>
      </x:c>
      <x:c r="B178" t="str">
        <x:v>operational</x:v>
      </x:c>
      <x:c r="C178" t="str">
        <x:v>Tamil Nadu Kanniyakumari 1</x:v>
      </x:c>
      <x:c r="D178" t="str">
        <x:v>Tamil Nadu</x:v>
      </x:c>
      <x:c r="E178" t="str">
        <x:v>Kanniyakumari</x:v>
      </x:c>
      <x:c r="G178">
        <x:v>1</x:v>
      </x:c>
    </x:row>
    <x:row r="179">
      <x:c r="A179" t="str">
        <x:v>Solar</x:v>
      </x:c>
      <x:c r="B179" t="str">
        <x:v>operational</x:v>
      </x:c>
      <x:c r="C179" t="str">
        <x:v>Tamil Nadu Karur 156.49</x:v>
      </x:c>
      <x:c r="D179" t="str">
        <x:v>Tamil Nadu</x:v>
      </x:c>
      <x:c r="E179" t="str">
        <x:v>Karur</x:v>
      </x:c>
      <x:c r="G179">
        <x:v>156.49</x:v>
      </x:c>
    </x:row>
    <x:row r="180">
      <x:c r="A180" t="str">
        <x:v>Solar</x:v>
      </x:c>
      <x:c r="B180" t="str">
        <x:v>operational</x:v>
      </x:c>
      <x:c r="C180" t="str">
        <x:v>Tamil Nadu Krishnagiri 0.75</x:v>
      </x:c>
      <x:c r="D180" t="str">
        <x:v>Tamil Nadu</x:v>
      </x:c>
      <x:c r="E180" t="str">
        <x:v>Krishnagiri</x:v>
      </x:c>
      <x:c r="G180">
        <x:v>0.75</x:v>
      </x:c>
    </x:row>
    <x:row r="181">
      <x:c r="A181" t="str">
        <x:v>Solar</x:v>
      </x:c>
      <x:c r="B181" t="str">
        <x:v>operational</x:v>
      </x:c>
      <x:c r="C181" t="str">
        <x:v>Tamil Nadu Madurai 1</x:v>
      </x:c>
      <x:c r="D181" t="str">
        <x:v>Tamil Nadu</x:v>
      </x:c>
      <x:c r="E181" t="str">
        <x:v>Madurai</x:v>
      </x:c>
      <x:c r="G181">
        <x:v>1</x:v>
      </x:c>
    </x:row>
    <x:row r="182">
      <x:c r="A182" t="str">
        <x:v>Solar</x:v>
      </x:c>
      <x:c r="B182" t="str">
        <x:v>operational</x:v>
      </x:c>
      <x:c r="C182" t="str">
        <x:v>Tamil Nadu N.A. 251</x:v>
      </x:c>
      <x:c r="D182" t="str">
        <x:v>Tamil Nadu</x:v>
      </x:c>
      <x:c r="E182" t="str">
        <x:v>N.A.</x:v>
      </x:c>
      <x:c r="G182">
        <x:v>251</x:v>
      </x:c>
    </x:row>
    <x:row r="183">
      <x:c r="A183" t="str">
        <x:v>Solar</x:v>
      </x:c>
      <x:c r="B183" t="str">
        <x:v>operational</x:v>
      </x:c>
      <x:c r="C183" t="str">
        <x:v>Tamil Nadu N.A. Off -grid 75.91</x:v>
      </x:c>
      <x:c r="D183" t="str">
        <x:v>Tamil Nadu</x:v>
      </x:c>
      <x:c r="E183" t="str">
        <x:v>N.A.</x:v>
      </x:c>
      <x:c r="G183">
        <x:v>75.91</x:v>
      </x:c>
    </x:row>
    <x:row r="184">
      <x:c r="A184" t="str">
        <x:v>Solar</x:v>
      </x:c>
      <x:c r="B184" t="str">
        <x:v>operational</x:v>
      </x:c>
      <x:c r="C184" t="str">
        <x:v>Tamil Nadu N.A. Others (Districts not specified) 8930.85</x:v>
      </x:c>
      <x:c r="D184" t="str">
        <x:v>Tamil Nadu</x:v>
      </x:c>
      <x:c r="E184" t="str">
        <x:v>N.A.</x:v>
      </x:c>
      <x:c r="G184">
        <x:v>8930.85</x:v>
      </x:c>
    </x:row>
    <x:row r="185">
      <x:c r="A185" t="str">
        <x:v>Solar</x:v>
      </x:c>
      <x:c r="B185" t="str">
        <x:v>operational</x:v>
      </x:c>
      <x:c r="C185" t="str">
        <x:v>Tamil Nadu N.A. Rooftop (Grid Connected) 1635.8</x:v>
      </x:c>
      <x:c r="D185" t="str">
        <x:v>Tamil Nadu</x:v>
      </x:c>
      <x:c r="E185" t="str">
        <x:v>N.A.</x:v>
      </x:c>
      <x:c r="G185">
        <x:v>1635.8</x:v>
      </x:c>
    </x:row>
    <x:row r="186">
      <x:c r="A186" t="str">
        <x:v>Solar</x:v>
      </x:c>
      <x:c r="B186" t="str">
        <x:v>operational</x:v>
      </x:c>
      <x:c r="C186" t="str">
        <x:v>Tamil Nadu Nagapattinam  5</x:v>
      </x:c>
      <x:c r="D186" t="str">
        <x:v>Tamil Nadu</x:v>
      </x:c>
      <x:c r="E186" t="str">
        <x:v>Nagapattinam</x:v>
      </x:c>
      <x:c r="G186">
        <x:v>5</x:v>
      </x:c>
    </x:row>
    <x:row r="187">
      <x:c r="A187" t="str">
        <x:v>Solar</x:v>
      </x:c>
      <x:c r="B187" t="str">
        <x:v>operational</x:v>
      </x:c>
      <x:c r="C187" t="str">
        <x:v>Tamil Nadu Perambalur 10</x:v>
      </x:c>
      <x:c r="D187" t="str">
        <x:v>Tamil Nadu</x:v>
      </x:c>
      <x:c r="E187" t="str">
        <x:v>Perambalur</x:v>
      </x:c>
      <x:c r="G187">
        <x:v>10</x:v>
      </x:c>
    </x:row>
    <x:row r="188">
      <x:c r="A188" t="str">
        <x:v>Solar</x:v>
      </x:c>
      <x:c r="B188" t="str">
        <x:v>operational</x:v>
      </x:c>
      <x:c r="C188" t="str">
        <x:v>Tamil Nadu Pudukkottai 20</x:v>
      </x:c>
      <x:c r="D188" t="str">
        <x:v>Tamil Nadu</x:v>
      </x:c>
      <x:c r="E188" t="str">
        <x:v>Pudukkottai</x:v>
      </x:c>
      <x:c r="G188">
        <x:v>20</x:v>
      </x:c>
    </x:row>
    <x:row r="189">
      <x:c r="A189" t="str">
        <x:v>Solar</x:v>
      </x:c>
      <x:c r="B189" t="str">
        <x:v>operational</x:v>
      </x:c>
      <x:c r="C189" t="str">
        <x:v>Tamil Nadu Ramanathapuram 245</x:v>
      </x:c>
      <x:c r="D189" t="str">
        <x:v>Tamil Nadu</x:v>
      </x:c>
      <x:c r="E189" t="str">
        <x:v>Ramanathapuram</x:v>
      </x:c>
      <x:c r="G189">
        <x:v>245</x:v>
      </x:c>
    </x:row>
    <x:row r="190">
      <x:c r="A190" t="str">
        <x:v>Solar</x:v>
      </x:c>
      <x:c r="B190" t="str">
        <x:v>operational</x:v>
      </x:c>
      <x:c r="C190" t="str">
        <x:v>Tamil Nadu Ramanathapuram Kamuthi Solar Power Project 648</x:v>
      </x:c>
      <x:c r="D190" t="str">
        <x:v>Tamil Nadu</x:v>
      </x:c>
      <x:c r="E190" t="str">
        <x:v>Ramanathapuram</x:v>
      </x:c>
      <x:c r="G190">
        <x:v>648</x:v>
      </x:c>
    </x:row>
    <x:row r="191">
      <x:c r="A191" t="str">
        <x:v>Solar</x:v>
      </x:c>
      <x:c r="B191" t="str">
        <x:v>operational</x:v>
      </x:c>
      <x:c r="C191" t="str">
        <x:v>Tamil Nadu Sivaganga 16.55</x:v>
      </x:c>
      <x:c r="D191" t="str">
        <x:v>Tamil Nadu</x:v>
      </x:c>
      <x:c r="E191" t="str">
        <x:v>Sivaganga</x:v>
      </x:c>
      <x:c r="G191">
        <x:v>16.55</x:v>
      </x:c>
    </x:row>
    <x:row r="192">
      <x:c r="A192" t="str">
        <x:v>Solar</x:v>
      </x:c>
      <x:c r="B192" t="str">
        <x:v>operational</x:v>
      </x:c>
      <x:c r="C192" t="str">
        <x:v>Tamil Nadu Thoothukkudi 28</x:v>
      </x:c>
      <x:c r="D192" t="str">
        <x:v>Tamil Nadu</x:v>
      </x:c>
      <x:c r="E192" t="str">
        <x:v>Thoothukkudi</x:v>
      </x:c>
      <x:c r="G192">
        <x:v>28</x:v>
      </x:c>
    </x:row>
    <x:row r="193">
      <x:c r="A193" t="str">
        <x:v>Solar</x:v>
      </x:c>
      <x:c r="B193" t="str">
        <x:v>operational</x:v>
      </x:c>
      <x:c r="C193" t="str">
        <x:v>Tamil Nadu Tiruchirappalli 169</x:v>
      </x:c>
      <x:c r="D193" t="str">
        <x:v>Tamil Nadu</x:v>
      </x:c>
      <x:c r="E193" t="str">
        <x:v>Tiruchirappalli</x:v>
      </x:c>
      <x:c r="G193">
        <x:v>169</x:v>
      </x:c>
    </x:row>
    <x:row r="194">
      <x:c r="A194" t="str">
        <x:v>Solar</x:v>
      </x:c>
      <x:c r="B194" t="str">
        <x:v>operational</x:v>
      </x:c>
      <x:c r="C194" t="str">
        <x:v>Tamil Nadu Tirunelveli  309.36</x:v>
      </x:c>
      <x:c r="D194" t="str">
        <x:v>Tamil Nadu</x:v>
      </x:c>
      <x:c r="E194" t="str">
        <x:v>Tirunelveli</x:v>
      </x:c>
      <x:c r="G194">
        <x:v>309.36</x:v>
      </x:c>
    </x:row>
    <x:row r="195">
      <x:c r="A195" t="str">
        <x:v>Solar</x:v>
      </x:c>
      <x:c r="B195" t="str">
        <x:v>operational</x:v>
      </x:c>
      <x:c r="C195" t="str">
        <x:v>Tamil Nadu Tirunelveli, Tuticorin, Virudhunagar and Ramanathapuram 351</x:v>
      </x:c>
      <x:c r="D195" t="str">
        <x:v>Tamil Nadu</x:v>
      </x:c>
      <x:c r="E195" t="str">
        <x:v>Tirunelveli, Tuticorin, Virudhunagar and Ramanathapuram</x:v>
      </x:c>
      <x:c r="G195">
        <x:v>351</x:v>
      </x:c>
    </x:row>
    <x:row r="196">
      <x:c r="A196" t="str">
        <x:v>Solar</x:v>
      </x:c>
      <x:c r="B196" t="str">
        <x:v>operational</x:v>
      </x:c>
      <x:c r="C196" t="str">
        <x:v>Tamil Nadu Tiruppur 49.3</x:v>
      </x:c>
      <x:c r="D196" t="str">
        <x:v>Tamil Nadu</x:v>
      </x:c>
      <x:c r="E196" t="str">
        <x:v>Tiruppur</x:v>
      </x:c>
      <x:c r="G196">
        <x:v>49.3</x:v>
      </x:c>
    </x:row>
    <x:row r="197">
      <x:c r="A197" t="str">
        <x:v>Solar</x:v>
      </x:c>
      <x:c r="B197" t="str">
        <x:v>operational</x:v>
      </x:c>
      <x:c r="C197" t="str">
        <x:v>Tamil Nadu Tiruvannamalai 31</x:v>
      </x:c>
      <x:c r="D197" t="str">
        <x:v>Tamil Nadu</x:v>
      </x:c>
      <x:c r="E197" t="str">
        <x:v>Tiruvannamalai</x:v>
      </x:c>
      <x:c r="G197">
        <x:v>31</x:v>
      </x:c>
    </x:row>
    <x:row r="198">
      <x:c r="A198" t="str">
        <x:v>Solar</x:v>
      </x:c>
      <x:c r="B198" t="str">
        <x:v>operational</x:v>
      </x:c>
      <x:c r="C198" t="str">
        <x:v>Tamil Nadu Vellore  5</x:v>
      </x:c>
      <x:c r="D198" t="str">
        <x:v>Tamil Nadu</x:v>
      </x:c>
      <x:c r="E198" t="str">
        <x:v>Vellore</x:v>
      </x:c>
      <x:c r="G198">
        <x:v>5</x:v>
      </x:c>
    </x:row>
    <x:row r="199">
      <x:c r="A199" t="str">
        <x:v>Solar</x:v>
      </x:c>
      <x:c r="B199" t="str">
        <x:v>operational</x:v>
      </x:c>
      <x:c r="C199" t="str">
        <x:v>Tamil Nadu Virudhunagar 685.4</x:v>
      </x:c>
      <x:c r="D199" t="str">
        <x:v>Tamil Nadu</x:v>
      </x:c>
      <x:c r="E199" t="str">
        <x:v>Virudhunagar</x:v>
      </x:c>
      <x:c r="G199">
        <x:v>685.4</x:v>
      </x:c>
    </x:row>
    <x:row r="200">
      <x:c r="A200" t="str">
        <x:v>Oil &amp; Gas</x:v>
      </x:c>
      <x:c r="B200" t="str">
        <x:v>operational</x:v>
      </x:c>
      <x:c r="C200" t="str">
        <x:v>Basin Bridge Gas Turbine Power Station</x:v>
      </x:c>
      <x:c r="D200" t="str">
        <x:v>Tamil Nadu</x:v>
      </x:c>
      <x:c r="E200" t="str">
        <x:v>Chennai</x:v>
      </x:c>
      <x:c r="F200" t="str">
        <x:v>1996-02-12</x:v>
      </x:c>
      <x:c r="G200">
        <x:v>30</x:v>
      </x:c>
      <x:c r="H200" t="str">
        <x:v>Tamil Nadu Generation and Distribution Corp. Ltd.</x:v>
      </x:c>
    </x:row>
    <x:row r="201">
      <x:c r="A201" t="str">
        <x:v>Oil &amp; Gas</x:v>
      </x:c>
      <x:c r="B201" t="str">
        <x:v>operational</x:v>
      </x:c>
      <x:c r="C201" t="str">
        <x:v>Basin Bridge Gas Turbine Power Station</x:v>
      </x:c>
      <x:c r="D201" t="str">
        <x:v>Tamil Nadu</x:v>
      </x:c>
      <x:c r="E201" t="str">
        <x:v>Chennai</x:v>
      </x:c>
      <x:c r="F201" t="str">
        <x:v>1996-02-25</x:v>
      </x:c>
      <x:c r="G201">
        <x:v>30</x:v>
      </x:c>
      <x:c r="H201" t="str">
        <x:v>Tamil Nadu Generation and Distribution Corp. Ltd.</x:v>
      </x:c>
    </x:row>
    <x:row r="202">
      <x:c r="A202" t="str">
        <x:v>Oil &amp; Gas</x:v>
      </x:c>
      <x:c r="B202" t="str">
        <x:v>operational</x:v>
      </x:c>
      <x:c r="C202" t="str">
        <x:v>Basin Bridge Gas Turbine Power Station</x:v>
      </x:c>
      <x:c r="D202" t="str">
        <x:v>Tamil Nadu</x:v>
      </x:c>
      <x:c r="E202" t="str">
        <x:v>Chennai</x:v>
      </x:c>
      <x:c r="F202" t="str">
        <x:v>1996-03-26</x:v>
      </x:c>
      <x:c r="G202">
        <x:v>30</x:v>
      </x:c>
      <x:c r="H202" t="str">
        <x:v>Tamil Nadu Generation and Distribution Corp. Ltd.</x:v>
      </x:c>
    </x:row>
    <x:row r="203">
      <x:c r="A203" t="str">
        <x:v>Oil &amp; Gas</x:v>
      </x:c>
      <x:c r="B203" t="str">
        <x:v>operational</x:v>
      </x:c>
      <x:c r="C203" t="str">
        <x:v>Basin Bridge Gas Turbine Power Station</x:v>
      </x:c>
      <x:c r="D203" t="str">
        <x:v>Tamil Nadu</x:v>
      </x:c>
      <x:c r="E203" t="str">
        <x:v>Chennai</x:v>
      </x:c>
      <x:c r="F203" t="str">
        <x:v>1996-03-31</x:v>
      </x:c>
      <x:c r="G203">
        <x:v>30</x:v>
      </x:c>
      <x:c r="H203" t="str">
        <x:v>Tamil Nadu Generation and Distribution Corp. Ltd.</x:v>
      </x:c>
    </x:row>
    <x:row r="204">
      <x:c r="A204" t="str">
        <x:v>Oil &amp; Gas</x:v>
      </x:c>
      <x:c r="B204" t="str">
        <x:v>Temporarily Closed</x:v>
      </x:c>
      <x:c r="C204" t="str">
        <x:v>Karuppur Combined Cycle Power Plant</x:v>
      </x:c>
      <x:c r="D204" t="str">
        <x:v>Tamil Nadu</x:v>
      </x:c>
      <x:c r="E204" t="str">
        <x:v>Thanjavur</x:v>
      </x:c>
      <x:c r="F204" t="str">
        <x:v>2005-08-01</x:v>
      </x:c>
      <x:c r="G204">
        <x:v>70</x:v>
      </x:c>
      <x:c r="H204" t="str">
        <x:v>Lanco Tanjore Power Co. Ltd.</x:v>
      </x:c>
    </x:row>
    <x:row r="205">
      <x:c r="A205" t="str">
        <x:v>Oil &amp; Gas</x:v>
      </x:c>
      <x:c r="B205" t="str">
        <x:v>Temporarily Closed</x:v>
      </x:c>
      <x:c r="C205" t="str">
        <x:v>Karuppur Combined Cycle Power Plant</x:v>
      </x:c>
      <x:c r="D205" t="str">
        <x:v>Tamil Nadu</x:v>
      </x:c>
      <x:c r="E205" t="str">
        <x:v>Thanjavur</x:v>
      </x:c>
      <x:c r="F205" t="str">
        <x:v>2005-08-01</x:v>
      </x:c>
      <x:c r="G205">
        <x:v>49.8</x:v>
      </x:c>
      <x:c r="H205" t="str">
        <x:v>Lanco Tanjore Power Co. Ltd.</x:v>
      </x:c>
    </x:row>
    <x:row r="206">
      <x:c r="A206" t="str">
        <x:v>Oil &amp; Gas</x:v>
      </x:c>
      <x:c r="B206" t="str">
        <x:v>operational</x:v>
      </x:c>
      <x:c r="C206" t="str">
        <x:v>Kovilkalappal (Thirumakotai) Gas Combined Cycle Gas Turbine Power Station</x:v>
      </x:c>
      <x:c r="D206" t="str">
        <x:v>Tamil Nadu</x:v>
      </x:c>
      <x:c r="E206" t="str">
        <x:v>Thiruvarur</x:v>
      </x:c>
      <x:c r="F206" t="str">
        <x:v>2001-02-05</x:v>
      </x:c>
      <x:c r="G206">
        <x:v>69.65</x:v>
      </x:c>
      <x:c r="H206" t="str">
        <x:v>Tamil Nadu Generation and Distribution Corp. Ltd.</x:v>
      </x:c>
    </x:row>
    <x:row r="207">
      <x:c r="A207" t="str">
        <x:v>Oil &amp; Gas</x:v>
      </x:c>
      <x:c r="B207" t="str">
        <x:v>operational</x:v>
      </x:c>
      <x:c r="C207" t="str">
        <x:v>Kovilkalappal (Thirumakotai) Gas Combined Cycle Gas Turbine Power Station</x:v>
      </x:c>
      <x:c r="D207" t="str">
        <x:v>Tamil Nadu</x:v>
      </x:c>
      <x:c r="E207" t="str">
        <x:v>Thiruvarur</x:v>
      </x:c>
      <x:c r="F207" t="str">
        <x:v>2001-02-05</x:v>
      </x:c>
      <x:c r="G207">
        <x:v>38.23</x:v>
      </x:c>
      <x:c r="H207" t="str">
        <x:v>Tamil Nadu Generation and Distribution Corp. Ltd.</x:v>
      </x:c>
    </x:row>
    <x:row r="208">
      <x:c r="A208" t="str">
        <x:v>Oil &amp; Gas</x:v>
      </x:c>
      <x:c r="B208" t="str">
        <x:v>operational</x:v>
      </x:c>
      <x:c r="C208" t="str">
        <x:v>Kuttalam Gas Turbine Power Station</x:v>
      </x:c>
      <x:c r="D208" t="str">
        <x:v>Tamil Nadu</x:v>
      </x:c>
      <x:c r="E208" t="str">
        <x:v>Nagapattinam</x:v>
      </x:c>
      <x:c r="F208" t="str">
        <x:v>2003-11-27</x:v>
      </x:c>
      <x:c r="G208">
        <x:v>63</x:v>
      </x:c>
      <x:c r="H208" t="str">
        <x:v>Tamil Nadu Generation and Distribution Corp. Ltd.</x:v>
      </x:c>
    </x:row>
    <x:row r="209">
      <x:c r="A209" t="str">
        <x:v>Oil &amp; Gas</x:v>
      </x:c>
      <x:c r="B209" t="str">
        <x:v>operational</x:v>
      </x:c>
      <x:c r="C209" t="str">
        <x:v>Kuttalam Gas Turbine Power Station</x:v>
      </x:c>
      <x:c r="D209" t="str">
        <x:v>Tamil Nadu</x:v>
      </x:c>
      <x:c r="E209" t="str">
        <x:v>Nagapattinam</x:v>
      </x:c>
      <x:c r="F209" t="str">
        <x:v>2004-03-24</x:v>
      </x:c>
      <x:c r="G209">
        <x:v>37</x:v>
      </x:c>
      <x:c r="H209" t="str">
        <x:v>Tamil Nadu Generation and Distribution Corp. Ltd.</x:v>
      </x:c>
    </x:row>
    <x:row r="210">
      <x:c r="A210" t="str">
        <x:v>Oil &amp; Gas</x:v>
      </x:c>
      <x:c r="B210" t="str">
        <x:v>operational</x:v>
      </x:c>
      <x:c r="C210" t="str">
        <x:v>Pillaiperumalnallur (PPN) Power Plant Phase I</x:v>
      </x:c>
      <x:c r="D210" t="str">
        <x:v>Tamil Nadu</x:v>
      </x:c>
      <x:c r="E210" t="str">
        <x:v>Nagapattinam</x:v>
      </x:c>
      <x:c r="F210" t="str">
        <x:v>2001-04-26</x:v>
      </x:c>
      <x:c r="G210">
        <x:v>225</x:v>
      </x:c>
      <x:c r="H210" t="str">
        <x:v>PPN Power Generating Co. Private Ltd.</x:v>
      </x:c>
    </x:row>
    <x:row r="211">
      <x:c r="A211" t="str">
        <x:v>Oil &amp; Gas</x:v>
      </x:c>
      <x:c r="B211" t="str">
        <x:v>operational</x:v>
      </x:c>
      <x:c r="C211" t="str">
        <x:v>Pillaiperumalnallur (PPN) Power Plant Phase I</x:v>
      </x:c>
      <x:c r="D211" t="str">
        <x:v>Tamil Nadu</x:v>
      </x:c>
      <x:c r="E211" t="str">
        <x:v>Nagapattinam</x:v>
      </x:c>
      <x:c r="F211" t="str">
        <x:v>2001-04-26</x:v>
      </x:c>
      <x:c r="G211">
        <x:v>105.5</x:v>
      </x:c>
      <x:c r="H211" t="str">
        <x:v>PPN Power Generating Co. Private Ltd.</x:v>
      </x:c>
    </x:row>
    <x:row r="212">
      <x:c r="A212" t="str">
        <x:v>Oil &amp; Gas</x:v>
      </x:c>
      <x:c r="B212" t="str">
        <x:v>Temporarily Closed</x:v>
      </x:c>
      <x:c r="C212" t="str">
        <x:v>Valantharavai Combined Cycle Gas Power Plant</x:v>
      </x:c>
      <x:c r="D212" t="str">
        <x:v>Tamil Nadu</x:v>
      </x:c>
      <x:c r="E212" t="str">
        <x:v>Ramanathapuram</x:v>
      </x:c>
      <x:c r="F212" t="str">
        <x:v>2005-10-29</x:v>
      </x:c>
      <x:c r="G212">
        <x:v>38</x:v>
      </x:c>
      <x:c r="H212" t="str">
        <x:v>Pioneer Power Ltd.</x:v>
      </x:c>
    </x:row>
    <x:row r="213">
      <x:c r="A213" t="str">
        <x:v>Oil &amp; Gas</x:v>
      </x:c>
      <x:c r="B213" t="str">
        <x:v>Temporarily Closed</x:v>
      </x:c>
      <x:c r="C213" t="str">
        <x:v>Valantharavai Combined Cycle Gas Power Plant</x:v>
      </x:c>
      <x:c r="D213" t="str">
        <x:v>Tamil Nadu</x:v>
      </x:c>
      <x:c r="E213" t="str">
        <x:v>Ramanathapuram</x:v>
      </x:c>
      <x:c r="F213" t="str">
        <x:v>2006-05-01</x:v>
      </x:c>
      <x:c r="G213">
        <x:v>14.8</x:v>
      </x:c>
      <x:c r="H213" t="str">
        <x:v>Pioneer Power Ltd.</x:v>
      </x:c>
    </x:row>
    <x:row r="214">
      <x:c r="A214" t="str">
        <x:v>Oil &amp; Gas</x:v>
      </x:c>
      <x:c r="B214" t="str">
        <x:v>operational</x:v>
      </x:c>
      <x:c r="C214" t="str">
        <x:v>Valuthur Gas Turbine Power Station</x:v>
      </x:c>
      <x:c r="D214" t="str">
        <x:v>Tamil Nadu</x:v>
      </x:c>
      <x:c r="E214" t="str">
        <x:v>Ramanathapuram</x:v>
      </x:c>
      <x:c r="F214" t="str">
        <x:v>2002-12-24</x:v>
      </x:c>
      <x:c r="G214">
        <x:v>60</x:v>
      </x:c>
      <x:c r="H214" t="str">
        <x:v>Tamil Nadu Generation and Distribution Corp. Ltd.</x:v>
      </x:c>
    </x:row>
    <x:row r="215">
      <x:c r="A215" t="str">
        <x:v>Oil &amp; Gas</x:v>
      </x:c>
      <x:c r="B215" t="str">
        <x:v>operational</x:v>
      </x:c>
      <x:c r="C215" t="str">
        <x:v>Valuthur Gas Turbine Power Station</x:v>
      </x:c>
      <x:c r="D215" t="str">
        <x:v>Tamil Nadu</x:v>
      </x:c>
      <x:c r="E215" t="str">
        <x:v>Ramanathapuram</x:v>
      </x:c>
      <x:c r="F215" t="str">
        <x:v>2003-03-13</x:v>
      </x:c>
      <x:c r="G215">
        <x:v>34</x:v>
      </x:c>
      <x:c r="H215" t="str">
        <x:v>Tamil Nadu Generation and Distribution Corp. Ltd.</x:v>
      </x:c>
    </x:row>
    <x:row r="216">
      <x:c r="A216" t="str">
        <x:v>Oil &amp; Gas</x:v>
      </x:c>
      <x:c r="B216" t="str">
        <x:v>operational</x:v>
      </x:c>
      <x:c r="C216" t="str">
        <x:v>Valuthur Gas Turbine Power Station</x:v>
      </x:c>
      <x:c r="D216" t="str">
        <x:v>Tamil Nadu</x:v>
      </x:c>
      <x:c r="E216" t="str">
        <x:v>Ramanathapuram</x:v>
      </x:c>
      <x:c r="F216" t="str">
        <x:v>2008-05-06</x:v>
      </x:c>
      <x:c r="G216">
        <x:v>59.8</x:v>
      </x:c>
      <x:c r="H216" t="str">
        <x:v>Tamil Nadu Generation and Distribution Corp. Ltd.</x:v>
      </x:c>
    </x:row>
    <x:row r="217">
      <x:c r="A217" t="str">
        <x:v>Oil &amp; Gas</x:v>
      </x:c>
      <x:c r="B217" t="str">
        <x:v>operational</x:v>
      </x:c>
      <x:c r="C217" t="str">
        <x:v>Valuthur Gas Turbine Power Station</x:v>
      </x:c>
      <x:c r="D217" t="str">
        <x:v>Tamil Nadu</x:v>
      </x:c>
      <x:c r="E217" t="str">
        <x:v>Ramanathapuram</x:v>
      </x:c>
      <x:c r="F217" t="str">
        <x:v>2008-08-31</x:v>
      </x:c>
      <x:c r="G217">
        <x:v>32.4</x:v>
      </x:c>
      <x:c r="H217" t="str">
        <x:v>Tamil Nadu Generation and Distribution Corp. Ltd.</x:v>
      </x:c>
    </x:row>
    <x:row r="218">
      <x:c r="A218" t="str">
        <x:v>Bio Power</x:v>
      </x:c>
      <x:c r="B218" t="str">
        <x:v>operational</x:v>
      </x:c>
      <x:c r="C218" t="str">
        <x:v>Ambika Sugars (Previously M/s. SREL) Tamil Nadu Cuddalore 40</x:v>
      </x:c>
      <x:c r="D218" t="str">
        <x:v>Tamil Nadu</x:v>
      </x:c>
      <x:c r="E218" t="str">
        <x:v>Cuddalore</x:v>
      </x:c>
      <x:c r="F218" t="str">
        <x:v>N.A.</x:v>
      </x:c>
      <x:c r="G218">
        <x:v>40</x:v>
      </x:c>
      <x:c r="H218" t="str">
        <x:v>Ambika Sugars (Previously M/s. SREL)</x:v>
      </x:c>
    </x:row>
    <x:row r="219">
      <x:c r="A219" t="str">
        <x:v>Bio Power</x:v>
      </x:c>
      <x:c r="B219" t="str">
        <x:v>operational</x:v>
      </x:c>
      <x:c r="C219" t="str">
        <x:v>Arashi Hi-Tech Bio-Power 
Ltd. Tamil Nadu Coimbatore 1.6</x:v>
      </x:c>
      <x:c r="D219" t="str">
        <x:v>Tamil Nadu</x:v>
      </x:c>
      <x:c r="E219" t="str">
        <x:v>Coimbatore</x:v>
      </x:c>
      <x:c r="F219" t="str">
        <x:v>N.A.</x:v>
      </x:c>
      <x:c r="G219">
        <x:v>1.6</x:v>
      </x:c>
      <x:c r="H219" t="str">
        <x:v>Arashi Hi-Tech Bio-Power 
Ltd.</x:v>
      </x:c>
    </x:row>
    <x:row r="220">
      <x:c r="A220" t="str">
        <x:v>Bio Power</x:v>
      </x:c>
      <x:c r="B220" t="str">
        <x:v>operational</x:v>
      </x:c>
      <x:c r="C220" t="str">
        <x:v>Arunachala Sugars Ltd. Tamil Nadu Tiruvannamalai 19</x:v>
      </x:c>
      <x:c r="D220" t="str">
        <x:v>Tamil Nadu</x:v>
      </x:c>
      <x:c r="E220" t="str">
        <x:v>Tiruvannamalai</x:v>
      </x:c>
      <x:c r="F220" t="str">
        <x:v>N.A.</x:v>
      </x:c>
      <x:c r="G220">
        <x:v>19</x:v>
      </x:c>
      <x:c r="H220" t="str">
        <x:v>Arunachala Sugars Ltd.</x:v>
      </x:c>
    </x:row>
    <x:row r="221">
      <x:c r="A221" t="str">
        <x:v>Bio Power</x:v>
      </x:c>
      <x:c r="B221" t="str">
        <x:v>operational</x:v>
      </x:c>
      <x:c r="C221" t="str">
        <x:v>Astro Energy and Bio Systems Ltd. Tamil Nadu Madurai 10</x:v>
      </x:c>
      <x:c r="D221" t="str">
        <x:v>Tamil Nadu</x:v>
      </x:c>
      <x:c r="E221" t="str">
        <x:v>Madurai</x:v>
      </x:c>
      <x:c r="F221" t="str">
        <x:v>N.A.</x:v>
      </x:c>
      <x:c r="G221">
        <x:v>10</x:v>
      </x:c>
      <x:c r="H221" t="str">
        <x:v>Astro Energy and Bio Systems Ltd.</x:v>
      </x:c>
    </x:row>
    <x:row r="222">
      <x:c r="A222" t="str">
        <x:v>Bio Power</x:v>
      </x:c>
      <x:c r="B222" t="str">
        <x:v>operational</x:v>
      </x:c>
      <x:c r="C222" t="str">
        <x:v>Auro Energy Ltd. Tamil Nadu Thanjavur 16</x:v>
      </x:c>
      <x:c r="D222" t="str">
        <x:v>Tamil Nadu</x:v>
      </x:c>
      <x:c r="E222" t="str">
        <x:v>Thanjavur</x:v>
      </x:c>
      <x:c r="F222" t="str">
        <x:v>N.A.</x:v>
      </x:c>
      <x:c r="G222">
        <x:v>16</x:v>
      </x:c>
      <x:c r="H222" t="str">
        <x:v>Auro Energy Ltd.</x:v>
      </x:c>
    </x:row>
    <x:row r="223">
      <x:c r="A223" t="str">
        <x:v>Bio Power</x:v>
      </x:c>
      <x:c r="B223" t="str">
        <x:v>operational</x:v>
      </x:c>
      <x:c r="C223" t="str">
        <x:v>Aurobindo Agro Energy Pvt. Ltd. Tamil Nadu Sivaganga 15</x:v>
      </x:c>
      <x:c r="D223" t="str">
        <x:v>Tamil Nadu</x:v>
      </x:c>
      <x:c r="E223" t="str">
        <x:v>Sivaganga</x:v>
      </x:c>
      <x:c r="F223" t="str">
        <x:v>N.A.</x:v>
      </x:c>
      <x:c r="G223">
        <x:v>15</x:v>
      </x:c>
      <x:c r="H223" t="str">
        <x:v>Aurobindo Agro Energy Pvt. Ltd.</x:v>
      </x:c>
    </x:row>
    <x:row r="224">
      <x:c r="A224" t="str">
        <x:v>Bio Power</x:v>
      </x:c>
      <x:c r="B224" t="str">
        <x:v>operational</x:v>
      </x:c>
      <x:c r="C224" t="str">
        <x:v>Auromira Bio Power
India (P) Ltd Tamil Nadu Tirunelveli 15</x:v>
      </x:c>
      <x:c r="D224" t="str">
        <x:v>Tamil Nadu</x:v>
      </x:c>
      <x:c r="E224" t="str">
        <x:v>Tirunelveli</x:v>
      </x:c>
      <x:c r="F224" t="str">
        <x:v>N.A.</x:v>
      </x:c>
      <x:c r="G224">
        <x:v>15</x:v>
      </x:c>
      <x:c r="H224" t="str">
        <x:v>Auromira Bio Power
India (P) Ltd</x:v>
      </x:c>
    </x:row>
    <x:row r="225">
      <x:c r="A225" t="str">
        <x:v>Bio Power</x:v>
      </x:c>
      <x:c r="B225" t="str">
        <x:v>operational</x:v>
      </x:c>
      <x:c r="C225" t="str">
        <x:v>Bannari Amman Sugars Ltd. Tamil Nadu Erode 20</x:v>
      </x:c>
      <x:c r="D225" t="str">
        <x:v>Tamil Nadu</x:v>
      </x:c>
      <x:c r="E225" t="str">
        <x:v>Erode</x:v>
      </x:c>
      <x:c r="F225" t="str">
        <x:v>N.A.</x:v>
      </x:c>
      <x:c r="G225">
        <x:v>20</x:v>
      </x:c>
      <x:c r="H225" t="str">
        <x:v>Bannari Amman Sugars Ltd.</x:v>
      </x:c>
    </x:row>
    <x:row r="226">
      <x:c r="A226" t="str">
        <x:v>Bio Power</x:v>
      </x:c>
      <x:c r="B226" t="str">
        <x:v>operational</x:v>
      </x:c>
      <x:c r="C226" t="str">
        <x:v>Bannari Amman Sugars and Chemicals Ltd. Tamil Nadu Tiruvannamalai 28.8</x:v>
      </x:c>
      <x:c r="D226" t="str">
        <x:v>Tamil Nadu</x:v>
      </x:c>
      <x:c r="E226" t="str">
        <x:v>Tiruvannamalai</x:v>
      </x:c>
      <x:c r="F226" t="str">
        <x:v>N.A.</x:v>
      </x:c>
      <x:c r="G226">
        <x:v>28.8</x:v>
      </x:c>
      <x:c r="H226" t="str">
        <x:v>Bannari Amman Sugars and Chemicals Ltd.</x:v>
      </x:c>
    </x:row>
    <x:row r="227">
      <x:c r="A227" t="str">
        <x:v>Bio Power</x:v>
      </x:c>
      <x:c r="B227" t="str">
        <x:v>operational</x:v>
      </x:c>
      <x:c r="C227" t="str">
        <x:v>C.M.D.A., Koyambedu Veg. Market Bio-metharation plant Tamil Nadu Chennai 0.25</x:v>
      </x:c>
      <x:c r="D227" t="str">
        <x:v>Tamil Nadu</x:v>
      </x:c>
      <x:c r="E227" t="str">
        <x:v>Chennai</x:v>
      </x:c>
      <x:c r="F227" t="str">
        <x:v>N.A.</x:v>
      </x:c>
      <x:c r="G227">
        <x:v>0.25</x:v>
      </x:c>
      <x:c r="H227" t="str">
        <x:v>C.M.D.A., Koyambedu Veg. Market Bio-metharation plant</x:v>
      </x:c>
    </x:row>
    <x:row r="228">
      <x:c r="A228" t="str">
        <x:v>Bio Power</x:v>
      </x:c>
      <x:c r="B228" t="str">
        <x:v>operational</x:v>
      </x:c>
      <x:c r="C228" t="str">
        <x:v>Cheyyar Co.op Sugar Mills Tamil Nadu Tiruvannamalai 7.5</x:v>
      </x:c>
      <x:c r="D228" t="str">
        <x:v>Tamil Nadu</x:v>
      </x:c>
      <x:c r="E228" t="str">
        <x:v>Tiruvannamalai</x:v>
      </x:c>
      <x:c r="F228" t="str">
        <x:v>N.A.</x:v>
      </x:c>
      <x:c r="G228">
        <x:v>7.5</x:v>
      </x:c>
      <x:c r="H228" t="str">
        <x:v>Cheyyar Co.op Sugar Mills</x:v>
      </x:c>
    </x:row>
    <x:row r="229">
      <x:c r="A229" t="str">
        <x:v>Bio Power</x:v>
      </x:c>
      <x:c r="B229" t="str">
        <x:v>operational</x:v>
      </x:c>
      <x:c r="C229" t="str">
        <x:v>Chitra Bio Energy Ltd. Tamil Nadu Pudukkottai 7.5</x:v>
      </x:c>
      <x:c r="D229" t="str">
        <x:v>Tamil Nadu</x:v>
      </x:c>
      <x:c r="E229" t="str">
        <x:v>Pudukkottai</x:v>
      </x:c>
      <x:c r="F229" t="str">
        <x:v>N.A.</x:v>
      </x:c>
      <x:c r="G229">
        <x:v>7.5</x:v>
      </x:c>
      <x:c r="H229" t="str">
        <x:v>Chitra Bio Energy Ltd.</x:v>
      </x:c>
    </x:row>
    <x:row r="230">
      <x:c r="A230" t="str">
        <x:v>Bio Power</x:v>
      </x:c>
      <x:c r="B230" t="str">
        <x:v>operational</x:v>
      </x:c>
      <x:c r="C230" t="str">
        <x:v>Dhanalakshmi Srinivasan Sugars Pvt Ltd. Tamil Nadu Perambalur 25</x:v>
      </x:c>
      <x:c r="D230" t="str">
        <x:v>Tamil Nadu</x:v>
      </x:c>
      <x:c r="E230" t="str">
        <x:v>Perambalur</x:v>
      </x:c>
      <x:c r="F230" t="str">
        <x:v>N.A.</x:v>
      </x:c>
      <x:c r="G230">
        <x:v>25</x:v>
      </x:c>
      <x:c r="H230" t="str">
        <x:v>Dhanalakshmi Srinivasan Sugars Pvt Ltd.</x:v>
      </x:c>
    </x:row>
    <x:row r="231">
      <x:c r="A231" t="str">
        <x:v>Bio Power</x:v>
      </x:c>
      <x:c r="B231" t="str">
        <x:v>operational</x:v>
      </x:c>
      <x:c r="C231" t="str">
        <x:v>Dharani Sugars &amp; Chemical Ltd. Tamil Nadu Tiruvannamalai 15</x:v>
      </x:c>
      <x:c r="D231" t="str">
        <x:v>Tamil Nadu</x:v>
      </x:c>
      <x:c r="E231" t="str">
        <x:v>Tiruvannamalai</x:v>
      </x:c>
      <x:c r="F231" t="str">
        <x:v>N.A.</x:v>
      </x:c>
      <x:c r="G231">
        <x:v>15</x:v>
      </x:c>
      <x:c r="H231" t="str">
        <x:v>Dharani Sugars &amp; Chemical Ltd.</x:v>
      </x:c>
    </x:row>
    <x:row r="232">
      <x:c r="A232" t="str">
        <x:v>Bio Power</x:v>
      </x:c>
      <x:c r="B232" t="str">
        <x:v>operational</x:v>
      </x:c>
      <x:c r="C232" t="str">
        <x:v>Dharani Sugars &amp; Chemical Ltd. Tamil Nadu Viluppuram 22</x:v>
      </x:c>
      <x:c r="D232" t="str">
        <x:v>Tamil Nadu</x:v>
      </x:c>
      <x:c r="E232" t="str">
        <x:v>Viluppuram</x:v>
      </x:c>
      <x:c r="F232" t="str">
        <x:v>N.A.</x:v>
      </x:c>
      <x:c r="G232">
        <x:v>22</x:v>
      </x:c>
      <x:c r="H232" t="str">
        <x:v>Dharani Sugars &amp; Chemical Ltd.</x:v>
      </x:c>
    </x:row>
    <x:row r="233">
      <x:c r="A233" t="str">
        <x:v>Bio Power</x:v>
      </x:c>
      <x:c r="B233" t="str">
        <x:v>operational</x:v>
      </x:c>
      <x:c r="C233" t="str">
        <x:v>EID Parry India Ltd. Tamil Nadu Cuddalore 24.5</x:v>
      </x:c>
      <x:c r="D233" t="str">
        <x:v>Tamil Nadu</x:v>
      </x:c>
      <x:c r="E233" t="str">
        <x:v>Cuddalore</x:v>
      </x:c>
      <x:c r="F233" t="str">
        <x:v>N.A.</x:v>
      </x:c>
      <x:c r="G233">
        <x:v>24.5</x:v>
      </x:c>
      <x:c r="H233" t="str">
        <x:v>EID Parry India Ltd.</x:v>
      </x:c>
    </x:row>
    <x:row r="234">
      <x:c r="A234" t="str">
        <x:v>Bio Power</x:v>
      </x:c>
      <x:c r="B234" t="str">
        <x:v>operational</x:v>
      </x:c>
      <x:c r="C234" t="str">
        <x:v>EID Parry India Ltd. Tamil Nadu Karur 22</x:v>
      </x:c>
      <x:c r="D234" t="str">
        <x:v>Tamil Nadu</x:v>
      </x:c>
      <x:c r="E234" t="str">
        <x:v>Karur</x:v>
      </x:c>
      <x:c r="F234" t="str">
        <x:v>N.A.</x:v>
      </x:c>
      <x:c r="G234">
        <x:v>22</x:v>
      </x:c>
      <x:c r="H234" t="str">
        <x:v>EID Parry India Ltd.</x:v>
      </x:c>
    </x:row>
    <x:row r="235">
      <x:c r="A235" t="str">
        <x:v>Bio Power</x:v>
      </x:c>
      <x:c r="B235" t="str">
        <x:v>operational</x:v>
      </x:c>
      <x:c r="C235" t="str">
        <x:v>EID Parry India Ltd. Tamil Nadu Pudukkottai 18</x:v>
      </x:c>
      <x:c r="D235" t="str">
        <x:v>Tamil Nadu</x:v>
      </x:c>
      <x:c r="E235" t="str">
        <x:v>Pudukkottai</x:v>
      </x:c>
      <x:c r="F235" t="str">
        <x:v>N.A.</x:v>
      </x:c>
      <x:c r="G235">
        <x:v>18</x:v>
      </x:c>
      <x:c r="H235" t="str">
        <x:v>EID Parry India Ltd.</x:v>
      </x:c>
    </x:row>
    <x:row r="236">
      <x:c r="A236" t="str">
        <x:v>Bio Power</x:v>
      </x:c>
      <x:c r="B236" t="str">
        <x:v>operational</x:v>
      </x:c>
      <x:c r="C236" t="str">
        <x:v>EID Parry India Ltd. Tamil Nadu Tiruchirappalli 18</x:v>
      </x:c>
      <x:c r="D236" t="str">
        <x:v>Tamil Nadu</x:v>
      </x:c>
      <x:c r="E236" t="str">
        <x:v>Tiruchirappalli</x:v>
      </x:c>
      <x:c r="F236" t="str">
        <x:v>N.A.</x:v>
      </x:c>
      <x:c r="G236">
        <x:v>18</x:v>
      </x:c>
      <x:c r="H236" t="str">
        <x:v>EID Parry India Ltd.</x:v>
      </x:c>
    </x:row>
    <x:row r="237">
      <x:c r="A237" t="str">
        <x:v>Bio Power</x:v>
      </x:c>
      <x:c r="B237" t="str">
        <x:v>operational</x:v>
      </x:c>
      <x:c r="C237" t="str">
        <x:v>ETA Power Gen.Pvt.Ltd. Tamil Nadu Virudhunagar 10</x:v>
      </x:c>
      <x:c r="D237" t="str">
        <x:v>Tamil Nadu</x:v>
      </x:c>
      <x:c r="E237" t="str">
        <x:v>Virudhunagar</x:v>
      </x:c>
      <x:c r="F237" t="str">
        <x:v>N.A.</x:v>
      </x:c>
      <x:c r="G237">
        <x:v>10</x:v>
      </x:c>
      <x:c r="H237" t="str">
        <x:v>ETA Power Gen.Pvt.Ltd.</x:v>
      </x:c>
    </x:row>
    <x:row r="238">
      <x:c r="A238" t="str">
        <x:v>Bio Power</x:v>
      </x:c>
      <x:c r="B238" t="str">
        <x:v>operational</x:v>
      </x:c>
      <x:c r="C238" t="str">
        <x:v>Empee Distilleries (Pvt) Ltd. Tamil Nadu Pudukkottai 10</x:v>
      </x:c>
      <x:c r="D238" t="str">
        <x:v>Tamil Nadu</x:v>
      </x:c>
      <x:c r="E238" t="str">
        <x:v>Pudukkottai</x:v>
      </x:c>
      <x:c r="F238" t="str">
        <x:v>N.A.</x:v>
      </x:c>
      <x:c r="G238">
        <x:v>10</x:v>
      </x:c>
      <x:c r="H238" t="str">
        <x:v>Empee Distilleries (Pvt) Ltd.</x:v>
      </x:c>
    </x:row>
    <x:row r="239">
      <x:c r="A239" t="str">
        <x:v>Bio Power</x:v>
      </x:c>
      <x:c r="B239" t="str">
        <x:v>operational</x:v>
      </x:c>
      <x:c r="C239" t="str">
        <x:v>Empee Sugars &amp; Chemicals Ltd. Tamil Nadu Tirunelveli 50</x:v>
      </x:c>
      <x:c r="D239" t="str">
        <x:v>Tamil Nadu</x:v>
      </x:c>
      <x:c r="E239" t="str">
        <x:v>Tirunelveli</x:v>
      </x:c>
      <x:c r="F239" t="str">
        <x:v>N.A.</x:v>
      </x:c>
      <x:c r="G239">
        <x:v>50</x:v>
      </x:c>
      <x:c r="H239" t="str">
        <x:v>Empee Sugars &amp; Chemicals Ltd.</x:v>
      </x:c>
    </x:row>
    <x:row r="240">
      <x:c r="A240" t="str">
        <x:v>Bio Power</x:v>
      </x:c>
      <x:c r="B240" t="str">
        <x:v>operational</x:v>
      </x:c>
      <x:c r="C240" t="str">
        <x:v>G.K. Bio Energy Pvt. Ltd. Tamil Nadu Erode 1.5</x:v>
      </x:c>
      <x:c r="D240" t="str">
        <x:v>Tamil Nadu</x:v>
      </x:c>
      <x:c r="E240" t="str">
        <x:v>Erode</x:v>
      </x:c>
      <x:c r="F240" t="str">
        <x:v>N.A.</x:v>
      </x:c>
      <x:c r="G240">
        <x:v>1.5</x:v>
      </x:c>
      <x:c r="H240" t="str">
        <x:v>G.K. Bio Energy Pvt. Ltd.</x:v>
      </x:c>
    </x:row>
    <x:row r="241">
      <x:c r="A241" t="str">
        <x:v>Bio Power</x:v>
      </x:c>
      <x:c r="B241" t="str">
        <x:v>operational</x:v>
      </x:c>
      <x:c r="C241" t="str">
        <x:v>Global Power Tech. Equipments Pvt.Ltd. Tamil Nadu Tiruvannamalai 7.5</x:v>
      </x:c>
      <x:c r="D241" t="str">
        <x:v>Tamil Nadu</x:v>
      </x:c>
      <x:c r="E241" t="str">
        <x:v>Tiruvannamalai</x:v>
      </x:c>
      <x:c r="F241" t="str">
        <x:v>N.A.</x:v>
      </x:c>
      <x:c r="G241">
        <x:v>7.5</x:v>
      </x:c>
      <x:c r="H241" t="str">
        <x:v>Global Power Tech. Equipments Pvt.Ltd.</x:v>
      </x:c>
    </x:row>
    <x:row r="242">
      <x:c r="A242" t="str">
        <x:v>Bio Power</x:v>
      </x:c>
      <x:c r="B242" t="str">
        <x:v>operational</x:v>
      </x:c>
      <x:c r="C242" t="str">
        <x:v>IOT Mabagas Ltd. Tamil Nadu N.A. 2</x:v>
      </x:c>
      <x:c r="D242" t="str">
        <x:v>Tamil Nadu</x:v>
      </x:c>
      <x:c r="E242" t="str">
        <x:v>N.A.</x:v>
      </x:c>
      <x:c r="F242" t="str">
        <x:v>N.A.</x:v>
      </x:c>
      <x:c r="G242">
        <x:v>2</x:v>
      </x:c>
      <x:c r="H242" t="str">
        <x:v>IOT Mabagas Ltd.</x:v>
      </x:c>
    </x:row>
    <x:row r="243">
      <x:c r="A243" t="str">
        <x:v>Bio Power</x:v>
      </x:c>
      <x:c r="B243" t="str">
        <x:v>operational</x:v>
      </x:c>
      <x:c r="C243" t="str">
        <x:v>Kothari Sugars &amp; Chemicals Ltd. Tamil Nadu Perambalur 12</x:v>
      </x:c>
      <x:c r="D243" t="str">
        <x:v>Tamil Nadu</x:v>
      </x:c>
      <x:c r="E243" t="str">
        <x:v>Perambalur</x:v>
      </x:c>
      <x:c r="F243" t="str">
        <x:v>N.A.</x:v>
      </x:c>
      <x:c r="G243">
        <x:v>12</x:v>
      </x:c>
      <x:c r="H243" t="str">
        <x:v>Kothari Sugars &amp; Chemicals Ltd.</x:v>
      </x:c>
    </x:row>
    <x:row r="244">
      <x:c r="A244" t="str">
        <x:v>Bio Power</x:v>
      </x:c>
      <x:c r="B244" t="str">
        <x:v>operational</x:v>
      </x:c>
      <x:c r="C244" t="str">
        <x:v>Kothari Sugars &amp; Chemicals Ltd. Tamil Nadu Perambalur 22</x:v>
      </x:c>
      <x:c r="D244" t="str">
        <x:v>Tamil Nadu</x:v>
      </x:c>
      <x:c r="E244" t="str">
        <x:v>Perambalur</x:v>
      </x:c>
      <x:c r="F244" t="str">
        <x:v>N.A.</x:v>
      </x:c>
      <x:c r="G244">
        <x:v>22</x:v>
      </x:c>
      <x:c r="H244" t="str">
        <x:v>Kothari Sugars &amp; Chemicals Ltd.</x:v>
      </x:c>
    </x:row>
    <x:row r="245">
      <x:c r="A245" t="str">
        <x:v>Bio Power</x:v>
      </x:c>
      <x:c r="B245" t="str">
        <x:v>operational</x:v>
      </x:c>
      <x:c r="C245" t="str">
        <x:v>M.R.K.Co.op Sugar Mills Tamil Nadu Cuddalore 7.5</x:v>
      </x:c>
      <x:c r="D245" t="str">
        <x:v>Tamil Nadu</x:v>
      </x:c>
      <x:c r="E245" t="str">
        <x:v>Cuddalore</x:v>
      </x:c>
      <x:c r="F245" t="str">
        <x:v>N.A.</x:v>
      </x:c>
      <x:c r="G245">
        <x:v>7.5</x:v>
      </x:c>
      <x:c r="H245" t="str">
        <x:v>M.R.K.Co.op Sugar Mills</x:v>
      </x:c>
    </x:row>
    <x:row r="246">
      <x:c r="A246" t="str">
        <x:v>Bio Power</x:v>
      </x:c>
      <x:c r="B246" t="str">
        <x:v>operational</x:v>
      </x:c>
      <x:c r="C246" t="str">
        <x:v>Madras Sugars &amp; Chemicals Ltd. Tamil Nadu Tirunelveli 25</x:v>
      </x:c>
      <x:c r="D246" t="str">
        <x:v>Tamil Nadu</x:v>
      </x:c>
      <x:c r="E246" t="str">
        <x:v>Tirunelveli</x:v>
      </x:c>
      <x:c r="F246" t="str">
        <x:v>N.A.</x:v>
      </x:c>
      <x:c r="G246">
        <x:v>25</x:v>
      </x:c>
      <x:c r="H246" t="str">
        <x:v>Madras Sugars &amp; Chemicals Ltd.</x:v>
      </x:c>
    </x:row>
    <x:row r="247">
      <x:c r="A247" t="str">
        <x:v>Bio Power</x:v>
      </x:c>
      <x:c r="B247" t="str">
        <x:v>operational</x:v>
      </x:c>
      <x:c r="C247" t="str">
        <x:v>Manali Petrochemicals Ltd. Tamil Nadu Thiruvallur 4.7</x:v>
      </x:c>
      <x:c r="D247" t="str">
        <x:v>Tamil Nadu</x:v>
      </x:c>
      <x:c r="E247" t="str">
        <x:v>Thiruvallur</x:v>
      </x:c>
      <x:c r="F247" t="str">
        <x:v>N.A.</x:v>
      </x:c>
      <x:c r="G247">
        <x:v>4.7</x:v>
      </x:c>
      <x:c r="H247" t="str">
        <x:v>Manali Petrochemicals Ltd.</x:v>
      </x:c>
    </x:row>
    <x:row r="248">
      <x:c r="A248" t="str">
        <x:v>Bio Power</x:v>
      </x:c>
      <x:c r="B248" t="str">
        <x:v>operational</x:v>
      </x:c>
      <x:c r="C248" t="str">
        <x:v>Mohan Breweries &amp; Distillaries Ltd Tamil Nadu Kancheepuram 18</x:v>
      </x:c>
      <x:c r="D248" t="str">
        <x:v>Tamil Nadu</x:v>
      </x:c>
      <x:c r="E248" t="str">
        <x:v>Kancheepuram</x:v>
      </x:c>
      <x:c r="F248" t="str">
        <x:v>N.A.</x:v>
      </x:c>
      <x:c r="G248">
        <x:v>18</x:v>
      </x:c>
      <x:c r="H248" t="str">
        <x:v>Mohan Breweries &amp; Distillaries Ltd</x:v>
      </x:c>
    </x:row>
    <x:row r="249">
      <x:c r="A249" t="str">
        <x:v>Bio Power</x:v>
      </x:c>
      <x:c r="B249" t="str">
        <x:v>operational</x:v>
      </x:c>
      <x:c r="C249" t="str">
        <x:v>Orient Green Power Ltd. Tamil Nadu Coimbatore 10</x:v>
      </x:c>
      <x:c r="D249" t="str">
        <x:v>Tamil Nadu</x:v>
      </x:c>
      <x:c r="E249" t="str">
        <x:v>Coimbatore</x:v>
      </x:c>
      <x:c r="F249" t="str">
        <x:v>N.A.</x:v>
      </x:c>
      <x:c r="G249">
        <x:v>10</x:v>
      </x:c>
      <x:c r="H249" t="str">
        <x:v>Orient Green Power Ltd.</x:v>
      </x:c>
    </x:row>
    <x:row r="250">
      <x:c r="A250" t="str">
        <x:v>Bio Power</x:v>
      </x:c>
      <x:c r="B250" t="str">
        <x:v>operational</x:v>
      </x:c>
      <x:c r="C250" t="str">
        <x:v>Others (districts not specified) (Waste to Energy) Tamil Nadu N.A. 6.4</x:v>
      </x:c>
      <x:c r="D250" t="str">
        <x:v>Tamil Nadu</x:v>
      </x:c>
      <x:c r="E250" t="str">
        <x:v>N.A.</x:v>
      </x:c>
      <x:c r="F250" t="str">
        <x:v>N.A.</x:v>
      </x:c>
      <x:c r="G250">
        <x:v>6.4</x:v>
      </x:c>
      <x:c r="H250" t="str">
        <x:v>Others (districts not specified) (Waste to Energy)</x:v>
      </x:c>
    </x:row>
    <x:row r="251">
      <x:c r="A251" t="str">
        <x:v>Bio Power</x:v>
      </x:c>
      <x:c r="B251" t="str">
        <x:v>operational</x:v>
      </x:c>
      <x:c r="C251" t="str">
        <x:v>Others (districts not specified) [Biomass &amp; bagasse based cogen.] Tamil Nadu N.A. 138.2</x:v>
      </x:c>
      <x:c r="D251" t="str">
        <x:v>Tamil Nadu</x:v>
      </x:c>
      <x:c r="E251" t="str">
        <x:v>N.A.</x:v>
      </x:c>
      <x:c r="F251" t="str">
        <x:v>N.A.</x:v>
      </x:c>
      <x:c r="G251">
        <x:v>138.2</x:v>
      </x:c>
      <x:c r="H251" t="str">
        <x:v>Others (districts not specified) [Biomass &amp; bagasse based cogen.]</x:v>
      </x:c>
    </x:row>
    <x:row r="252">
      <x:c r="A252" t="str">
        <x:v>Bio Power</x:v>
      </x:c>
      <x:c r="B252" t="str">
        <x:v>operational</x:v>
      </x:c>
      <x:c r="C252" t="str">
        <x:v>Others (districts not specified) [Non-Bagasse based cogen.] Tamil Nadu N.A. 525</x:v>
      </x:c>
      <x:c r="D252" t="str">
        <x:v>Tamil Nadu</x:v>
      </x:c>
      <x:c r="E252" t="str">
        <x:v>N.A.</x:v>
      </x:c>
      <x:c r="F252" t="str">
        <x:v>N.A.</x:v>
      </x:c>
      <x:c r="G252">
        <x:v>52.05</x:v>
      </x:c>
      <x:c r="H252" t="str">
        <x:v>Others (districts not specified) [Non-Bagasse based cogen.]</x:v>
      </x:c>
    </x:row>
    <x:row r="253">
      <x:c r="A253" t="str">
        <x:v>Bio Power</x:v>
      </x:c>
      <x:c r="B253" t="str">
        <x:v>operational</x:v>
      </x:c>
      <x:c r="C253" t="str">
        <x:v>Others (districts not specified) [Waste to Energy (Off-grid)] Tamil Nadu N.A. 27.57</x:v>
      </x:c>
      <x:c r="D253" t="str">
        <x:v>Tamil Nadu</x:v>
      </x:c>
      <x:c r="E253" t="str">
        <x:v>N.A.</x:v>
      </x:c>
      <x:c r="F253" t="str">
        <x:v>N.A.</x:v>
      </x:c>
      <x:c r="G253">
        <x:v>27.57</x:v>
      </x:c>
      <x:c r="H253" t="str">
        <x:v>Others (districts not specified) [Waste to Energy (Off-grid)]</x:v>
      </x:c>
    </x:row>
    <x:row r="254">
      <x:c r="A254" t="str">
        <x:v>Bio Power</x:v>
      </x:c>
      <x:c r="B254" t="str">
        <x:v>operational</x:v>
      </x:c>
      <x:c r="C254" t="str">
        <x:v>Ponni Sugars Limited Tamil Nadu Erode 19</x:v>
      </x:c>
      <x:c r="D254" t="str">
        <x:v>Tamil Nadu</x:v>
      </x:c>
      <x:c r="E254" t="str">
        <x:v>Erode</x:v>
      </x:c>
      <x:c r="F254" t="str">
        <x:v>N.A.</x:v>
      </x:c>
      <x:c r="G254">
        <x:v>19</x:v>
      </x:c>
      <x:c r="H254" t="str">
        <x:v>Ponni Sugars Limited</x:v>
      </x:c>
    </x:row>
    <x:row r="255">
      <x:c r="A255" t="str">
        <x:v>Bio Power</x:v>
      </x:c>
      <x:c r="B255" t="str">
        <x:v>operational</x:v>
      </x:c>
      <x:c r="C255" t="str">
        <x:v>Prathyusha Power Pvt. Ltd. Tamil Nadu Tirunelveli 10</x:v>
      </x:c>
      <x:c r="D255" t="str">
        <x:v>Tamil Nadu</x:v>
      </x:c>
      <x:c r="E255" t="str">
        <x:v>Tirunelveli</x:v>
      </x:c>
      <x:c r="F255" t="str">
        <x:v>N.A.</x:v>
      </x:c>
      <x:c r="G255">
        <x:v>10</x:v>
      </x:c>
      <x:c r="H255" t="str">
        <x:v>Prathyusha Power Pvt. Ltd.</x:v>
      </x:c>
    </x:row>
    <x:row r="256">
      <x:c r="A256" t="str">
        <x:v>Bio Power</x:v>
      </x:c>
      <x:c r="B256" t="str">
        <x:v>operational</x:v>
      </x:c>
      <x:c r="C256" t="str">
        <x:v>Rajashree Sugars &amp; Chemicals Ltd. Tamil Nadu Theni 12</x:v>
      </x:c>
      <x:c r="D256" t="str">
        <x:v>Tamil Nadu</x:v>
      </x:c>
      <x:c r="E256" t="str">
        <x:v>Theni</x:v>
      </x:c>
      <x:c r="F256" t="str">
        <x:v>N.A.</x:v>
      </x:c>
      <x:c r="G256">
        <x:v>12</x:v>
      </x:c>
      <x:c r="H256" t="str">
        <x:v>Rajashree Sugars &amp; Chemicals Ltd.</x:v>
      </x:c>
    </x:row>
    <x:row r="257">
      <x:c r="A257" t="str">
        <x:v>Bio Power</x:v>
      </x:c>
      <x:c r="B257" t="str">
        <x:v>operational</x:v>
      </x:c>
      <x:c r="C257" t="str">
        <x:v>Rajashree Sugars &amp; Chemicals Ltd. Tamil Nadu Viluppuram 20</x:v>
      </x:c>
      <x:c r="D257" t="str">
        <x:v>Tamil Nadu</x:v>
      </x:c>
      <x:c r="E257" t="str">
        <x:v>Viluppuram</x:v>
      </x:c>
      <x:c r="F257" t="str">
        <x:v>N.A.</x:v>
      </x:c>
      <x:c r="G257">
        <x:v>20</x:v>
      </x:c>
      <x:c r="H257" t="str">
        <x:v>Rajashree Sugars &amp; Chemicals Ltd.</x:v>
      </x:c>
    </x:row>
    <x:row r="258">
      <x:c r="A258" t="str">
        <x:v>Bio Power</x:v>
      </x:c>
      <x:c r="B258" t="str">
        <x:v>operational</x:v>
      </x:c>
      <x:c r="C258" t="str">
        <x:v>Rajashree Sugars &amp; Chemicals Ltd. Tamil Nadu Viluppuram 22</x:v>
      </x:c>
      <x:c r="D258" t="str">
        <x:v>Tamil Nadu</x:v>
      </x:c>
      <x:c r="E258" t="str">
        <x:v>Viluppuram</x:v>
      </x:c>
      <x:c r="F258" t="str">
        <x:v>N.A.</x:v>
      </x:c>
      <x:c r="G258">
        <x:v>22</x:v>
      </x:c>
      <x:c r="H258" t="str">
        <x:v>Rajashree Sugars &amp; Chemicals Ltd.</x:v>
      </x:c>
    </x:row>
    <x:row r="259">
      <x:c r="A259" t="str">
        <x:v>Bio Power</x:v>
      </x:c>
      <x:c r="B259" t="str">
        <x:v>operational</x:v>
      </x:c>
      <x:c r="C259" t="str">
        <x:v>Rajkumar Impex(P) Ltd. Tamil Nadu Thoothukkudi 6</x:v>
      </x:c>
      <x:c r="D259" t="str">
        <x:v>Tamil Nadu</x:v>
      </x:c>
      <x:c r="E259" t="str">
        <x:v>Thoothukkudi</x:v>
      </x:c>
      <x:c r="F259" t="str">
        <x:v>N.A.</x:v>
      </x:c>
      <x:c r="G259">
        <x:v>6</x:v>
      </x:c>
      <x:c r="H259" t="str">
        <x:v>Rajkumar Impex(P) Ltd.</x:v>
      </x:c>
    </x:row>
    <x:row r="260">
      <x:c r="A260" t="str">
        <x:v>Bio Power</x:v>
      </x:c>
      <x:c r="B260" t="str">
        <x:v>operational</x:v>
      </x:c>
      <x:c r="C260" t="str">
        <x:v>Renuka Textiles Limited Tamil Nadu Theni 4.5</x:v>
      </x:c>
      <x:c r="D260" t="str">
        <x:v>Tamil Nadu</x:v>
      </x:c>
      <x:c r="E260" t="str">
        <x:v>Theni</x:v>
      </x:c>
      <x:c r="F260" t="str">
        <x:v>N.A.</x:v>
      </x:c>
      <x:c r="G260">
        <x:v>4.5</x:v>
      </x:c>
      <x:c r="H260" t="str">
        <x:v>Renuka Textiles Limited</x:v>
      </x:c>
    </x:row>
    <x:row r="261">
      <x:c r="A261" t="str">
        <x:v>Bio Power</x:v>
      </x:c>
      <x:c r="B261" t="str">
        <x:v>operational</x:v>
      </x:c>
      <x:c r="C261" t="str">
        <x:v>S.V Sugar Mills Ltd. Tamil Nadu Kancheepuram 45</x:v>
      </x:c>
      <x:c r="D261" t="str">
        <x:v>Tamil Nadu</x:v>
      </x:c>
      <x:c r="E261" t="str">
        <x:v>Kancheepuram</x:v>
      </x:c>
      <x:c r="F261" t="str">
        <x:v>N.A.</x:v>
      </x:c>
      <x:c r="G261">
        <x:v>45</x:v>
      </x:c>
      <x:c r="H261" t="str">
        <x:v>S.V Sugar Mills Ltd.</x:v>
      </x:c>
    </x:row>
    <x:row r="262">
      <x:c r="A262" t="str">
        <x:v>Bio Power</x:v>
      </x:c>
      <x:c r="B262" t="str">
        <x:v>operational</x:v>
      </x:c>
      <x:c r="C262" t="str">
        <x:v>Saastha Energy(P) Ltd Tamil Nadu N.A. 2</x:v>
      </x:c>
      <x:c r="D262" t="str">
        <x:v>Tamil Nadu</x:v>
      </x:c>
      <x:c r="E262" t="str">
        <x:v>N.A.</x:v>
      </x:c>
      <x:c r="F262" t="str">
        <x:v>N.A.</x:v>
      </x:c>
      <x:c r="G262">
        <x:v>2</x:v>
      </x:c>
      <x:c r="H262" t="str">
        <x:v>Saastha Energy(P) Ltd</x:v>
      </x:c>
    </x:row>
    <x:row r="263">
      <x:c r="A263" t="str">
        <x:v>Bio Power</x:v>
      </x:c>
      <x:c r="B263" t="str">
        <x:v>operational</x:v>
      </x:c>
      <x:c r="C263" t="str">
        <x:v>Sakti Sugars Ltd. Tamil Nadu Erode 24.5</x:v>
      </x:c>
      <x:c r="D263" t="str">
        <x:v>Tamil Nadu</x:v>
      </x:c>
      <x:c r="E263" t="str">
        <x:v>Erode</x:v>
      </x:c>
      <x:c r="F263" t="str">
        <x:v>N.A.</x:v>
      </x:c>
      <x:c r="G263">
        <x:v>24.5</x:v>
      </x:c>
      <x:c r="H263" t="str">
        <x:v>Sakti Sugars Ltd.</x:v>
      </x:c>
    </x:row>
    <x:row r="264">
      <x:c r="A264" t="str">
        <x:v>Bio Power</x:v>
      </x:c>
      <x:c r="B264" t="str">
        <x:v>operational</x:v>
      </x:c>
      <x:c r="C264" t="str">
        <x:v>Sakti Sugars Ltd. Tamil Nadu Sivaganga 35</x:v>
      </x:c>
      <x:c r="D264" t="str">
        <x:v>Tamil Nadu</x:v>
      </x:c>
      <x:c r="E264" t="str">
        <x:v>Sivaganga</x:v>
      </x:c>
      <x:c r="F264" t="str">
        <x:v>N.A.</x:v>
      </x:c>
      <x:c r="G264">
        <x:v>35</x:v>
      </x:c>
      <x:c r="H264" t="str">
        <x:v>Sakti Sugars Ltd.</x:v>
      </x:c>
    </x:row>
    <x:row r="265">
      <x:c r="A265" t="str">
        <x:v>Bio Power</x:v>
      </x:c>
      <x:c r="B265" t="str">
        <x:v>operational</x:v>
      </x:c>
      <x:c r="C265" t="str">
        <x:v>Shakti Sugars Ltd. Tamil Nadu Erode 32</x:v>
      </x:c>
      <x:c r="D265" t="str">
        <x:v>Tamil Nadu</x:v>
      </x:c>
      <x:c r="E265" t="str">
        <x:v>Erode</x:v>
      </x:c>
      <x:c r="F265" t="str">
        <x:v>N.A.</x:v>
      </x:c>
      <x:c r="G265">
        <x:v>32</x:v>
      </x:c>
      <x:c r="H265" t="str">
        <x:v>Shakti Sugars Ltd.</x:v>
      </x:c>
    </x:row>
    <x:row r="266">
      <x:c r="A266" t="str">
        <x:v>Bio Power</x:v>
      </x:c>
      <x:c r="B266" t="str">
        <x:v>operational</x:v>
      </x:c>
      <x:c r="C266" t="str">
        <x:v>Shriraam City Union Finance Ltd. Tamil Nadu Thanjavur 7.5</x:v>
      </x:c>
      <x:c r="D266" t="str">
        <x:v>Tamil Nadu</x:v>
      </x:c>
      <x:c r="E266" t="str">
        <x:v>Thanjavur</x:v>
      </x:c>
      <x:c r="F266" t="str">
        <x:v>N.A.</x:v>
      </x:c>
      <x:c r="G266">
        <x:v>7.5</x:v>
      </x:c>
      <x:c r="H266" t="str">
        <x:v>Shriraam City Union Finance Ltd.</x:v>
      </x:c>
    </x:row>
    <x:row r="267">
      <x:c r="A267" t="str">
        <x:v>Bio Power</x:v>
      </x:c>
      <x:c r="B267" t="str">
        <x:v>operational</x:v>
      </x:c>
      <x:c r="C267" t="str">
        <x:v>Shriram Investments Ltd. Tamil Nadu Dindigul 7.5</x:v>
      </x:c>
      <x:c r="D267" t="str">
        <x:v>Tamil Nadu</x:v>
      </x:c>
      <x:c r="E267" t="str">
        <x:v>Dindigul</x:v>
      </x:c>
      <x:c r="F267" t="str">
        <x:v>N.A.</x:v>
      </x:c>
      <x:c r="G267">
        <x:v>7.5</x:v>
      </x:c>
      <x:c r="H267" t="str">
        <x:v>Shriram Investments Ltd.</x:v>
      </x:c>
    </x:row>
    <x:row r="268">
      <x:c r="A268" t="str">
        <x:v>Bio Power</x:v>
      </x:c>
      <x:c r="B268" t="str">
        <x:v>operational</x:v>
      </x:c>
      <x:c r="C268" t="str">
        <x:v>Sripathi Paper &amp; Board
(P) Ltd Tamil Nadu Virudhunagar 4.95 09.03.2011</x:v>
      </x:c>
      <x:c r="D268" t="str">
        <x:v>Tamil Nadu</x:v>
      </x:c>
      <x:c r="E268" t="str">
        <x:v>Virudhunagar</x:v>
      </x:c>
      <x:c r="F268" t="str">
        <x:v>2011-09-03</x:v>
      </x:c>
      <x:c r="G268">
        <x:v>4.95</x:v>
      </x:c>
      <x:c r="H268" t="str">
        <x:v>Sripathi Paper &amp; Board
(P) Ltd</x:v>
      </x:c>
    </x:row>
    <x:row r="269">
      <x:c r="A269" t="str">
        <x:v>Bio Power</x:v>
      </x:c>
      <x:c r="B269" t="str">
        <x:v>operational</x:v>
      </x:c>
      <x:c r="C269" t="str">
        <x:v>Subashri Bio Energy (P)
Ltd. Tamil Nadu Namakkal 2.5</x:v>
      </x:c>
      <x:c r="D269" t="str">
        <x:v>Tamil Nadu</x:v>
      </x:c>
      <x:c r="E269" t="str">
        <x:v>Namakkal</x:v>
      </x:c>
      <x:c r="F269" t="str">
        <x:v>N.A.</x:v>
      </x:c>
      <x:c r="G269">
        <x:v>2.5</x:v>
      </x:c>
      <x:c r="H269" t="str">
        <x:v>Subashri Bio Energy (P)
Ltd.</x:v>
      </x:c>
    </x:row>
    <x:row r="270">
      <x:c r="A270" t="str">
        <x:v>Bio Power</x:v>
      </x:c>
      <x:c r="B270" t="str">
        <x:v>operational</x:v>
      </x:c>
      <x:c r="C270" t="str">
        <x:v>Subramania Siva Co-op Sugar Mills Tamil Nadu Dharmapuri 5</x:v>
      </x:c>
      <x:c r="D270" t="str">
        <x:v>Tamil Nadu</x:v>
      </x:c>
      <x:c r="E270" t="str">
        <x:v>Dharmapuri</x:v>
      </x:c>
      <x:c r="F270" t="str">
        <x:v>N.A.</x:v>
      </x:c>
      <x:c r="G270">
        <x:v>5</x:v>
      </x:c>
      <x:c r="H270" t="str">
        <x:v>Subramania Siva Co-op Sugar Mills</x:v>
      </x:c>
    </x:row>
    <x:row r="271">
      <x:c r="A271" t="str">
        <x:v>Bio Power</x:v>
      </x:c>
      <x:c r="B271" t="str">
        <x:v>operational</x:v>
      </x:c>
      <x:c r="C271" t="str">
        <x:v>Synergy Sakthi
Renewable energy Ltd. Tamil Nadu Dharmapuri 10</x:v>
      </x:c>
      <x:c r="D271" t="str">
        <x:v>Tamil Nadu</x:v>
      </x:c>
      <x:c r="E271" t="str">
        <x:v>Dharmapuri</x:v>
      </x:c>
      <x:c r="F271" t="str">
        <x:v>N.A.</x:v>
      </x:c>
      <x:c r="G271">
        <x:v>10</x:v>
      </x:c>
      <x:c r="H271" t="str">
        <x:v>Synergy Sakthi
Renewable energy Ltd.</x:v>
      </x:c>
    </x:row>
    <x:row r="272">
      <x:c r="A272" t="str">
        <x:v>Bio Power</x:v>
      </x:c>
      <x:c r="B272" t="str">
        <x:v>operational</x:v>
      </x:c>
      <x:c r="C272" t="str">
        <x:v>TCP Ltd. Tamil Nadu Sivaganga 9</x:v>
      </x:c>
      <x:c r="D272" t="str">
        <x:v>Tamil Nadu</x:v>
      </x:c>
      <x:c r="E272" t="str">
        <x:v>Sivaganga</x:v>
      </x:c>
      <x:c r="F272" t="str">
        <x:v>N.A.</x:v>
      </x:c>
      <x:c r="G272">
        <x:v>9</x:v>
      </x:c>
      <x:c r="H272" t="str">
        <x:v>TCP Ltd.</x:v>
      </x:c>
    </x:row>
    <x:row r="273">
      <x:c r="A273" t="str">
        <x:v>Bio Power</x:v>
      </x:c>
      <x:c r="B273" t="str">
        <x:v>operational</x:v>
      </x:c>
      <x:c r="C273" t="str">
        <x:v>Terra Energy Ltd. Tamil Nadu Cuddalore 18.68</x:v>
      </x:c>
      <x:c r="D273" t="str">
        <x:v>Tamil Nadu</x:v>
      </x:c>
      <x:c r="E273" t="str">
        <x:v>Cuddalore</x:v>
      </x:c>
      <x:c r="F273" t="str">
        <x:v>N.A.</x:v>
      </x:c>
      <x:c r="G273">
        <x:v>18.68</x:v>
      </x:c>
      <x:c r="H273" t="str">
        <x:v>Terra Energy Ltd.</x:v>
      </x:c>
    </x:row>
    <x:row r="274">
      <x:c r="A274" t="str">
        <x:v>Bio Power</x:v>
      </x:c>
      <x:c r="B274" t="str">
        <x:v>operational</x:v>
      </x:c>
      <x:c r="C274" t="str">
        <x:v>Terra Energy Ltd. Tamil Nadu Thanjavur 28.42</x:v>
      </x:c>
      <x:c r="D274" t="str">
        <x:v>Tamil Nadu</x:v>
      </x:c>
      <x:c r="E274" t="str">
        <x:v>Thanjavur</x:v>
      </x:c>
      <x:c r="F274" t="str">
        <x:v>N.A.</x:v>
      </x:c>
      <x:c r="G274">
        <x:v>28.42</x:v>
      </x:c>
      <x:c r="H274" t="str">
        <x:v>Terra Energy Ltd.</x:v>
      </x:c>
    </x:row>
    <x:row r="275">
      <x:c r="A275" t="str">
        <x:v>Nuclear</x:v>
      </x:c>
      <x:c r="B275" t="str">
        <x:v>pipeline</x:v>
      </x:c>
      <x:c r="C275" t="str">
        <x:v>BHAVINI PFBR Atomic Power Station</x:v>
      </x:c>
      <x:c r="D275" t="str">
        <x:v>Tamil Nadu</x:v>
      </x:c>
      <x:c r="E275" t="str">
        <x:v>Kancheepuram</x:v>
      </x:c>
      <x:c r="F275" t="str">
        <x:v>2024-06-18</x:v>
      </x:c>
      <x:c r="G275">
        <x:v>500</x:v>
      </x:c>
      <x:c r="H275" t="str">
        <x:v>Bharatiya Nabhikiya Vidyut Nigam Limited</x:v>
      </x:c>
    </x:row>
    <x:row r="276">
      <x:c r="A276" t="str">
        <x:v>Nuclear</x:v>
      </x:c>
      <x:c r="B276" t="str">
        <x:v>operational</x:v>
      </x:c>
      <x:c r="C276" t="str">
        <x:v>Kudankulam Atomic Power Project</x:v>
      </x:c>
      <x:c r="D276" t="str">
        <x:v>Tamil Nadu</x:v>
      </x:c>
      <x:c r="E276" t="str">
        <x:v>Tirunelveli</x:v>
      </x:c>
      <x:c r="F276" t="str">
        <x:v>2014-12-31</x:v>
      </x:c>
      <x:c r="G276">
        <x:v>1000</x:v>
      </x:c>
      <x:c r="H276" t="str">
        <x:v>Nuclear Power Corporation of India</x:v>
      </x:c>
    </x:row>
    <x:row r="277">
      <x:c r="A277" t="str">
        <x:v>Nuclear</x:v>
      </x:c>
      <x:c r="B277" t="str">
        <x:v>operational</x:v>
      </x:c>
      <x:c r="C277" t="str">
        <x:v>Kudankulam Atomic Power Project</x:v>
      </x:c>
      <x:c r="D277" t="str">
        <x:v>Tamil Nadu</x:v>
      </x:c>
      <x:c r="E277" t="str">
        <x:v>Tirunelveli</x:v>
      </x:c>
      <x:c r="F277" t="str">
        <x:v>2017-03-31</x:v>
      </x:c>
      <x:c r="G277">
        <x:v>1000</x:v>
      </x:c>
      <x:c r="H277" t="str">
        <x:v>Nuclear Power Corporation of India</x:v>
      </x:c>
    </x:row>
    <x:row r="278">
      <x:c r="A278" t="str">
        <x:v>Nuclear</x:v>
      </x:c>
      <x:c r="B278" t="str">
        <x:v>pipeline</x:v>
      </x:c>
      <x:c r="C278" t="str">
        <x:v>Kudankulam Atomic Power Project</x:v>
      </x:c>
      <x:c r="D278" t="str">
        <x:v>Tamil Nadu</x:v>
      </x:c>
      <x:c r="E278" t="str">
        <x:v>Tirunelveli</x:v>
      </x:c>
      <x:c r="F278" t="str">
        <x:v>2025-06-18</x:v>
      </x:c>
      <x:c r="G278">
        <x:v>1000</x:v>
      </x:c>
      <x:c r="H278" t="str">
        <x:v>Nuclear Power Corporation of India</x:v>
      </x:c>
    </x:row>
    <x:row r="279">
      <x:c r="A279" t="str">
        <x:v>Nuclear</x:v>
      </x:c>
      <x:c r="B279" t="str">
        <x:v>pipeline</x:v>
      </x:c>
      <x:c r="C279" t="str">
        <x:v>Kudankulam Atomic Power Project</x:v>
      </x:c>
      <x:c r="D279" t="str">
        <x:v>Tamil Nadu</x:v>
      </x:c>
      <x:c r="E279" t="str">
        <x:v>Tirunelveli</x:v>
      </x:c>
      <x:c r="F279" t="str">
        <x:v>2025-06-18</x:v>
      </x:c>
      <x:c r="G279">
        <x:v>1000</x:v>
      </x:c>
      <x:c r="H279" t="str">
        <x:v>Nuclear Power Corporation of India</x:v>
      </x:c>
    </x:row>
    <x:row r="280">
      <x:c r="A280" t="str">
        <x:v>Nuclear</x:v>
      </x:c>
      <x:c r="B280" t="str">
        <x:v>pipeline</x:v>
      </x:c>
      <x:c r="C280" t="str">
        <x:v>Kudankulam Atomic Power Project</x:v>
      </x:c>
      <x:c r="D280" t="str">
        <x:v>Tamil Nadu</x:v>
      </x:c>
      <x:c r="E280" t="str">
        <x:v>Tirunelveli</x:v>
      </x:c>
      <x:c r="F280" t="str">
        <x:v>2027-06-18</x:v>
      </x:c>
      <x:c r="G280">
        <x:v>1000</x:v>
      </x:c>
      <x:c r="H280" t="str">
        <x:v>Nuclear Power Corporation of India</x:v>
      </x:c>
    </x:row>
    <x:row r="281">
      <x:c r="A281" t="str">
        <x:v>Nuclear</x:v>
      </x:c>
      <x:c r="B281" t="str">
        <x:v>pipeline</x:v>
      </x:c>
      <x:c r="C281" t="str">
        <x:v>Kudankulam Atomic Power Project</x:v>
      </x:c>
      <x:c r="D281" t="str">
        <x:v>Tamil Nadu</x:v>
      </x:c>
      <x:c r="E281" t="str">
        <x:v>Tirunelveli</x:v>
      </x:c>
      <x:c r="F281" t="str">
        <x:v>2027-06-18</x:v>
      </x:c>
      <x:c r="G281">
        <x:v>1000</x:v>
      </x:c>
      <x:c r="H281" t="str">
        <x:v>Nuclear Power Corporation of India</x:v>
      </x:c>
    </x:row>
    <x:row r="282">
      <x:c r="A282" t="str">
        <x:v>Nuclear</x:v>
      </x:c>
      <x:c r="B282" t="str">
        <x:v>operational</x:v>
      </x:c>
      <x:c r="C282" t="str">
        <x:v>Madras Atomic Power Station</x:v>
      </x:c>
      <x:c r="D282" t="str">
        <x:v>Tamil Nadu</x:v>
      </x:c>
      <x:c r="E282" t="str">
        <x:v>Kancheepuram</x:v>
      </x:c>
      <x:c r="F282" t="str">
        <x:v>1984-01-27</x:v>
      </x:c>
      <x:c r="G282">
        <x:v>220</x:v>
      </x:c>
      <x:c r="H282" t="str">
        <x:v>Nuclear Power Corporation of India</x:v>
      </x:c>
    </x:row>
    <x:row r="283">
      <x:c r="A283" t="str">
        <x:v>Nuclear</x:v>
      </x:c>
      <x:c r="B283" t="str">
        <x:v>operational</x:v>
      </x:c>
      <x:c r="C283" t="str">
        <x:v>Madras Atomic Power Station</x:v>
      </x:c>
      <x:c r="D283" t="str">
        <x:v>Tamil Nadu</x:v>
      </x:c>
      <x:c r="E283" t="str">
        <x:v>Kancheepuram</x:v>
      </x:c>
      <x:c r="F283" t="str">
        <x:v>1986-03-21</x:v>
      </x:c>
      <x:c r="G283">
        <x:v>220</x:v>
      </x:c>
      <x:c r="H283" t="str">
        <x:v>Nuclear Power Corporation of India</x:v>
      </x:c>
    </x:row>
    <x:row r="284">
      <x:c r="A284" t="str">
        <x:v>Small-Hydro</x:v>
      </x:c>
      <x:c r="B284" t="str">
        <x:v>operational</x:v>
      </x:c>
      <x:c r="C284" t="str">
        <x:v>Aliyar Mini Hydel Project</x:v>
      </x:c>
      <x:c r="D284" t="str">
        <x:v>Tamil Nadu</x:v>
      </x:c>
      <x:c r="E284" t="str">
        <x:v>Coimbatore</x:v>
      </x:c>
      <x:c r="F284" t="str">
        <x:v>2002-09-23</x:v>
      </x:c>
      <x:c r="G284">
        <x:v>1.25</x:v>
      </x:c>
      <x:c r="H284" t="str">
        <x:v>Tamil Nadu Generation and Distribution Corp. Ltd. (TANGEDCO)</x:v>
      </x:c>
    </x:row>
    <x:row r="285">
      <x:c r="A285" t="str">
        <x:v>Small-Hydro</x:v>
      </x:c>
      <x:c r="B285" t="str">
        <x:v>operational</x:v>
      </x:c>
      <x:c r="C285" t="str">
        <x:v>Aliyar Mini Hydel Project</x:v>
      </x:c>
      <x:c r="D285" t="str">
        <x:v>Tamil Nadu</x:v>
      </x:c>
      <x:c r="E285" t="str">
        <x:v>Coimbatore</x:v>
      </x:c>
      <x:c r="F285" t="str">
        <x:v>2002-09-23</x:v>
      </x:c>
      <x:c r="G285">
        <x:v>1.25</x:v>
      </x:c>
      <x:c r="H285" t="str">
        <x:v>Tamil Nadu Generation and Distribution Corp. Ltd. (TANGEDCO)</x:v>
      </x:c>
    </x:row>
    <x:row r="286">
      <x:c r="A286" t="str">
        <x:v>Small-Hydro</x:v>
      </x:c>
      <x:c r="B286" t="str">
        <x:v>operational</x:v>
      </x:c>
      <x:c r="C286" t="str">
        <x:v>Amaravathi Small Hydro Project</x:v>
      </x:c>
      <x:c r="D286" t="str">
        <x:v>Tamil Nadu</x:v>
      </x:c>
      <x:c r="E286" t="str">
        <x:v>Coimbatore</x:v>
      </x:c>
      <x:c r="F286" t="str">
        <x:v>2006-09-21</x:v>
      </x:c>
      <x:c r="G286">
        <x:v>2</x:v>
      </x:c>
      <x:c r="H286" t="str">
        <x:v>Tamil Nadu Generation and Distribution Corp. Ltd. (TANGEDCO)</x:v>
      </x:c>
    </x:row>
    <x:row r="287">
      <x:c r="A287" t="str">
        <x:v>Small-Hydro</x:v>
      </x:c>
      <x:c r="B287" t="str">
        <x:v>operational</x:v>
      </x:c>
      <x:c r="C287" t="str">
        <x:v>Amaravathi Small Hydro Project</x:v>
      </x:c>
      <x:c r="D287" t="str">
        <x:v>Tamil Nadu</x:v>
      </x:c>
      <x:c r="E287" t="str">
        <x:v>Coimbatore</x:v>
      </x:c>
      <x:c r="F287" t="str">
        <x:v>2006-11-30</x:v>
      </x:c>
      <x:c r="G287">
        <x:v>2</x:v>
      </x:c>
      <x:c r="H287" t="str">
        <x:v>Tamil Nadu Generation and Distribution Corp. Ltd. (TANGEDCO)</x:v>
      </x:c>
    </x:row>
    <x:row r="288">
      <x:c r="A288" t="str">
        <x:v>Small-Hydro</x:v>
      </x:c>
      <x:c r="B288" t="str">
        <x:v>operational</x:v>
      </x:c>
      <x:c r="C288" t="str">
        <x:v>Bhavani Barrage I Small Hydro Electric Project</x:v>
      </x:c>
      <x:c r="D288" t="str">
        <x:v>Tamil Nadu</x:v>
      </x:c>
      <x:c r="E288" t="str">
        <x:v>Coimbatore</x:v>
      </x:c>
      <x:c r="F288" t="str">
        <x:v>2009-07-01</x:v>
      </x:c>
      <x:c r="G288">
        <x:v>5</x:v>
      </x:c>
      <x:c r="H288" t="str">
        <x:v>Tamil Nadu Generation and Distribution Corp. Ltd. (TANGEDCO)</x:v>
      </x:c>
    </x:row>
    <x:row r="289">
      <x:c r="A289" t="str">
        <x:v>Small-Hydro</x:v>
      </x:c>
      <x:c r="B289" t="str">
        <x:v>operational</x:v>
      </x:c>
      <x:c r="C289" t="str">
        <x:v>Bhavani Barrage I Small Hydro Electric Project</x:v>
      </x:c>
      <x:c r="D289" t="str">
        <x:v>Tamil Nadu</x:v>
      </x:c>
      <x:c r="E289" t="str">
        <x:v>Coimbatore</x:v>
      </x:c>
      <x:c r="F289" t="str">
        <x:v>2009-07-01</x:v>
      </x:c>
      <x:c r="G289">
        <x:v>5</x:v>
      </x:c>
      <x:c r="H289" t="str">
        <x:v>Tamil Nadu Generation and Distribution Corp. Ltd. (TANGEDCO)</x:v>
      </x:c>
    </x:row>
    <x:row r="290">
      <x:c r="A290" t="str">
        <x:v>Small-Hydro</x:v>
      </x:c>
      <x:c r="B290" t="str">
        <x:v>operational</x:v>
      </x:c>
      <x:c r="C290" t="str">
        <x:v>Bhavani Barrage II Small Hydro Electric Project</x:v>
      </x:c>
      <x:c r="D290" t="str">
        <x:v>Tamil Nadu</x:v>
      </x:c>
      <x:c r="E290" t="str">
        <x:v>Coimbatore</x:v>
      </x:c>
      <x:c r="F290" t="str">
        <x:v>N.A.</x:v>
      </x:c>
      <x:c r="G290">
        <x:v>5</x:v>
      </x:c>
      <x:c r="H290" t="str">
        <x:v>Tamil Nadu Generation and Distribution Corp. Ltd. (TANGEDCO)</x:v>
      </x:c>
    </x:row>
    <x:row r="291">
      <x:c r="A291" t="str">
        <x:v>Small-Hydro</x:v>
      </x:c>
      <x:c r="B291" t="str">
        <x:v>operational</x:v>
      </x:c>
      <x:c r="C291" t="str">
        <x:v>Bhavani Barrage II Small Hydro Electric Project</x:v>
      </x:c>
      <x:c r="D291" t="str">
        <x:v>Tamil Nadu</x:v>
      </x:c>
      <x:c r="E291" t="str">
        <x:v>Coimbatore</x:v>
      </x:c>
      <x:c r="F291" t="str">
        <x:v>N.A.</x:v>
      </x:c>
      <x:c r="G291">
        <x:v>5</x:v>
      </x:c>
      <x:c r="H291" t="str">
        <x:v>Tamil Nadu Generation and Distribution Corp. Ltd. (TANGEDCO)</x:v>
      </x:c>
    </x:row>
    <x:row r="292">
      <x:c r="A292" t="str">
        <x:v>Small-Hydro</x:v>
      </x:c>
      <x:c r="B292" t="str">
        <x:v>operational</x:v>
      </x:c>
      <x:c r="C292" t="str">
        <x:v>Lower Bhavani Micro Hydel Project</x:v>
      </x:c>
      <x:c r="D292" t="str">
        <x:v>Tamil Nadu</x:v>
      </x:c>
      <x:c r="E292" t="str">
        <x:v>Erode</x:v>
      </x:c>
      <x:c r="F292" t="str">
        <x:v>1990-05-26</x:v>
      </x:c>
      <x:c r="G292">
        <x:v>2</x:v>
      </x:c>
      <x:c r="H292" t="str">
        <x:v>Tamil Nadu Generation and Distribution Corp. Ltd. (TANGEDCO)</x:v>
      </x:c>
    </x:row>
    <x:row r="293">
      <x:c r="A293" t="str">
        <x:v>Small-Hydro</x:v>
      </x:c>
      <x:c r="B293" t="str">
        <x:v>operational</x:v>
      </x:c>
      <x:c r="C293" t="str">
        <x:v>Lower Bhavani Micro Hydel Project</x:v>
      </x:c>
      <x:c r="D293" t="str">
        <x:v>Tamil Nadu</x:v>
      </x:c>
      <x:c r="E293" t="str">
        <x:v>Erode</x:v>
      </x:c>
      <x:c r="F293" t="str">
        <x:v>1990-04-17</x:v>
      </x:c>
      <x:c r="G293">
        <x:v>2</x:v>
      </x:c>
      <x:c r="H293" t="str">
        <x:v>Tamil Nadu Generation and Distribution Corp. Ltd. (TANGEDCO)</x:v>
      </x:c>
    </x:row>
    <x:row r="294">
      <x:c r="A294" t="str">
        <x:v>Small-Hydro</x:v>
      </x:c>
      <x:c r="B294" t="str">
        <x:v>operational</x:v>
      </x:c>
      <x:c r="C294" t="str">
        <x:v>Lower Bhavani Micro Hydel Project</x:v>
      </x:c>
      <x:c r="D294" t="str">
        <x:v>Tamil Nadu</x:v>
      </x:c>
      <x:c r="E294" t="str">
        <x:v>Erode</x:v>
      </x:c>
      <x:c r="F294" t="str">
        <x:v>1990-04-11</x:v>
      </x:c>
      <x:c r="G294">
        <x:v>2</x:v>
      </x:c>
      <x:c r="H294" t="str">
        <x:v>Tamil Nadu Generation and Distribution Corp. Ltd. (TANGEDCO)</x:v>
      </x:c>
    </x:row>
    <x:row r="295">
      <x:c r="A295" t="str">
        <x:v>Small-Hydro</x:v>
      </x:c>
      <x:c r="B295" t="str">
        <x:v>operational</x:v>
      </x:c>
      <x:c r="C295" t="str">
        <x:v>Lower Bhavani Micro Hydel Project</x:v>
      </x:c>
      <x:c r="D295" t="str">
        <x:v>Tamil Nadu</x:v>
      </x:c>
      <x:c r="E295" t="str">
        <x:v>Erode</x:v>
      </x:c>
      <x:c r="F295" t="str">
        <x:v>1990-04-03</x:v>
      </x:c>
      <x:c r="G295">
        <x:v>2</x:v>
      </x:c>
      <x:c r="H295" t="str">
        <x:v>Tamil Nadu Generation and Distribution Corp. Ltd. (TANGEDCO)</x:v>
      </x:c>
    </x:row>
    <x:row r="296">
      <x:c r="A296" t="str">
        <x:v>Small-Hydro</x:v>
      </x:c>
      <x:c r="B296" t="str">
        <x:v>operational</x:v>
      </x:c>
      <x:c r="C296" t="str">
        <x:v>Lower Bhavani Right Bank Canal Project</x:v>
      </x:c>
      <x:c r="D296" t="str">
        <x:v>Tamil Nadu</x:v>
      </x:c>
      <x:c r="E296" t="str">
        <x:v>Erode</x:v>
      </x:c>
      <x:c r="F296" t="str">
        <x:v>1998-02-10</x:v>
      </x:c>
      <x:c r="G296">
        <x:v>4</x:v>
      </x:c>
      <x:c r="H296" t="str">
        <x:v>Tamil Nadu Generation and Distribution Corp. Ltd. (TANGEDCO)</x:v>
      </x:c>
    </x:row>
    <x:row r="297">
      <x:c r="A297" t="str">
        <x:v>Small-Hydro</x:v>
      </x:c>
      <x:c r="B297" t="str">
        <x:v>operational</x:v>
      </x:c>
      <x:c r="C297" t="str">
        <x:v>Lower Bhavani Right Bank Canal Project</x:v>
      </x:c>
      <x:c r="D297" t="str">
        <x:v>Tamil Nadu</x:v>
      </x:c>
      <x:c r="E297" t="str">
        <x:v>Erode</x:v>
      </x:c>
      <x:c r="F297" t="str">
        <x:v>1998-02-28</x:v>
      </x:c>
      <x:c r="G297">
        <x:v>4</x:v>
      </x:c>
      <x:c r="H297" t="str">
        <x:v>Tamil Nadu Generation and Distribution Corp. Ltd. (TANGEDCO)</x:v>
      </x:c>
    </x:row>
    <x:row r="298">
      <x:c r="A298" t="str">
        <x:v>Small-Hydro</x:v>
      </x:c>
      <x:c r="B298" t="str">
        <x:v>operational</x:v>
      </x:c>
      <x:c r="C298" t="str">
        <x:v>Maravakandy Small Hydro Project</x:v>
      </x:c>
      <x:c r="D298" t="str">
        <x:v>Tamil Nadu</x:v>
      </x:c>
      <x:c r="E298" t="str">
        <x:v>Nilgiris</x:v>
      </x:c>
      <x:c r="F298" t="str">
        <x:v>1992-10-14</x:v>
      </x:c>
      <x:c r="G298">
        <x:v>0.75</x:v>
      </x:c>
      <x:c r="H298" t="str">
        <x:v>Tamil Nadu Generation and Distribution Corp. Ltd. (TANGEDCO)</x:v>
      </x:c>
    </x:row>
    <x:row r="299">
      <x:c r="A299" t="str">
        <x:v>Small-Hydro</x:v>
      </x:c>
      <x:c r="B299" t="str">
        <x:v>operational</x:v>
      </x:c>
      <x:c r="C299" t="str">
        <x:v>Mukurthy Small Hydro Project</x:v>
      </x:c>
      <x:c r="D299" t="str">
        <x:v>Tamil Nadu</x:v>
      </x:c>
      <x:c r="E299" t="str">
        <x:v>Nilgiris</x:v>
      </x:c>
      <x:c r="F299" t="str">
        <x:v>2001-06-27</x:v>
      </x:c>
      <x:c r="G299">
        <x:v>0.35</x:v>
      </x:c>
      <x:c r="H299" t="str">
        <x:v>Tamil Nadu Generation and Distribution Corp. Ltd. (TANGEDCO)</x:v>
      </x:c>
    </x:row>
    <x:row r="300">
      <x:c r="A300" t="str">
        <x:v>Small-Hydro</x:v>
      </x:c>
      <x:c r="B300" t="str">
        <x:v>operational</x:v>
      </x:c>
      <x:c r="C300" t="str">
        <x:v>Mukurthy Small Hydro Project</x:v>
      </x:c>
      <x:c r="D300" t="str">
        <x:v>Tamil Nadu</x:v>
      </x:c>
      <x:c r="E300" t="str">
        <x:v>Nilgiris</x:v>
      </x:c>
      <x:c r="F300" t="str">
        <x:v>2003-01-01</x:v>
      </x:c>
      <x:c r="G300">
        <x:v>0.35</x:v>
      </x:c>
      <x:c r="H300" t="str">
        <x:v>Tamil Nadu Generation and Distribution Corp. Ltd. (TANGEDCO)</x:v>
      </x:c>
    </x:row>
    <x:row r="301">
      <x:c r="A301" t="str">
        <x:v>Small-Hydro</x:v>
      </x:c>
      <x:c r="B301" t="str">
        <x:v>operational</x:v>
      </x:c>
      <x:c r="C301" t="str">
        <x:v>Periyar Vaigai Mini I Hydro Project</x:v>
      </x:c>
      <x:c r="D301" t="str">
        <x:v>Tamil Nadu</x:v>
      </x:c>
      <x:c r="E301" t="str">
        <x:v>Kanniyakumari</x:v>
      </x:c>
      <x:c r="F301" t="str">
        <x:v>2010-10-02</x:v>
      </x:c>
      <x:c r="G301">
        <x:v>2</x:v>
      </x:c>
      <x:c r="H301" t="str">
        <x:v>Tamil Nadu Generation and Distribution Corp. Ltd. (TANGEDCO)</x:v>
      </x:c>
    </x:row>
    <x:row r="302">
      <x:c r="A302" t="str">
        <x:v>Small-Hydro</x:v>
      </x:c>
      <x:c r="B302" t="str">
        <x:v>operational</x:v>
      </x:c>
      <x:c r="C302" t="str">
        <x:v>Periyar Vaigai Mini I Hydro Project</x:v>
      </x:c>
      <x:c r="D302" t="str">
        <x:v>Tamil Nadu</x:v>
      </x:c>
      <x:c r="E302" t="str">
        <x:v>Kanniyakumari</x:v>
      </x:c>
      <x:c r="F302" t="str">
        <x:v>2011-01-21</x:v>
      </x:c>
      <x:c r="G302">
        <x:v>2</x:v>
      </x:c>
      <x:c r="H302" t="str">
        <x:v>Tamil Nadu Generation and Distribution Corp. Ltd. (TANGEDCO)</x:v>
      </x:c>
    </x:row>
    <x:row r="303">
      <x:c r="A303" t="str">
        <x:v>Small-Hydro</x:v>
      </x:c>
      <x:c r="B303" t="str">
        <x:v>operational</x:v>
      </x:c>
      <x:c r="C303" t="str">
        <x:v>Periyar Vaigai Mini II Hydro Project</x:v>
      </x:c>
      <x:c r="D303" t="str">
        <x:v>Tamil Nadu</x:v>
      </x:c>
      <x:c r="E303" t="str">
        <x:v>Kanniyakumari</x:v>
      </x:c>
      <x:c r="F303" t="str">
        <x:v>2011-01-21</x:v>
      </x:c>
      <x:c r="G303">
        <x:v>1.25</x:v>
      </x:c>
      <x:c r="H303" t="str">
        <x:v>Tamil Nadu Generation and Distribution Corp. Ltd. (TANGEDCO)</x:v>
      </x:c>
    </x:row>
    <x:row r="304">
      <x:c r="A304" t="str">
        <x:v>Small-Hydro</x:v>
      </x:c>
      <x:c r="B304" t="str">
        <x:v>operational</x:v>
      </x:c>
      <x:c r="C304" t="str">
        <x:v>Periyar Vaigai Mini II Hydro Project</x:v>
      </x:c>
      <x:c r="D304" t="str">
        <x:v>Tamil Nadu</x:v>
      </x:c>
      <x:c r="E304" t="str">
        <x:v>Kanniyakumari</x:v>
      </x:c>
      <x:c r="F304" t="str">
        <x:v>2012-01-30</x:v>
      </x:c>
      <x:c r="G304">
        <x:v>1.25</x:v>
      </x:c>
      <x:c r="H304" t="str">
        <x:v>Tamil Nadu Generation and Distribution Corp. Ltd. (TANGEDCO)</x:v>
      </x:c>
    </x:row>
    <x:row r="305">
      <x:c r="A305" t="str">
        <x:v>Small-Hydro</x:v>
      </x:c>
      <x:c r="B305" t="str">
        <x:v>operational</x:v>
      </x:c>
      <x:c r="C305" t="str">
        <x:v>Periyar Vaigai Mini III Hydro Project</x:v>
      </x:c>
      <x:c r="D305" t="str">
        <x:v>Tamil Nadu</x:v>
      </x:c>
      <x:c r="E305" t="str">
        <x:v>Kanniyakumari</x:v>
      </x:c>
      <x:c r="F305" t="str">
        <x:v>N.A.</x:v>
      </x:c>
      <x:c r="G305">
        <x:v>2</x:v>
      </x:c>
      <x:c r="H305" t="str">
        <x:v>Tamil Nadu Generation and Distribution Corp. Ltd. (TANGEDCO)</x:v>
      </x:c>
    </x:row>
    <x:row r="306">
      <x:c r="A306" t="str">
        <x:v>Small-Hydro</x:v>
      </x:c>
      <x:c r="B306" t="str">
        <x:v>operational</x:v>
      </x:c>
      <x:c r="C306" t="str">
        <x:v>Periyar Vaigai Mini III Hydro Project</x:v>
      </x:c>
      <x:c r="D306" t="str">
        <x:v>Tamil Nadu</x:v>
      </x:c>
      <x:c r="E306" t="str">
        <x:v>Kanniyakumari</x:v>
      </x:c>
      <x:c r="F306" t="str">
        <x:v>N.A.</x:v>
      </x:c>
      <x:c r="G306">
        <x:v>2</x:v>
      </x:c>
      <x:c r="H306" t="str">
        <x:v>Tamil Nadu Generation and Distribution Corp. Ltd. (TANGEDCO)</x:v>
      </x:c>
    </x:row>
    <x:row r="307">
      <x:c r="A307" t="str">
        <x:v>Small-Hydro</x:v>
      </x:c>
      <x:c r="B307" t="str">
        <x:v>operational</x:v>
      </x:c>
      <x:c r="C307" t="str">
        <x:v>Periyar Vaigai Mini IV Hydro Project</x:v>
      </x:c>
      <x:c r="D307" t="str">
        <x:v>Tamil Nadu</x:v>
      </x:c>
      <x:c r="E307" t="str">
        <x:v>Kanniyakumari</x:v>
      </x:c>
      <x:c r="F307" t="str">
        <x:v>N.A.</x:v>
      </x:c>
      <x:c r="G307">
        <x:v>1.25</x:v>
      </x:c>
      <x:c r="H307" t="str">
        <x:v>Tamil Nadu Generation and Distribution Corp. Ltd. (TANGEDCO)</x:v>
      </x:c>
    </x:row>
    <x:row r="308">
      <x:c r="A308" t="str">
        <x:v>Small-Hydro</x:v>
      </x:c>
      <x:c r="B308" t="str">
        <x:v>operational</x:v>
      </x:c>
      <x:c r="C308" t="str">
        <x:v>Periyar Vaigai Mini IV Hydro Project</x:v>
      </x:c>
      <x:c r="D308" t="str">
        <x:v>Tamil Nadu</x:v>
      </x:c>
      <x:c r="E308" t="str">
        <x:v>Kanniyakumari</x:v>
      </x:c>
      <x:c r="F308" t="str">
        <x:v>N.A.</x:v>
      </x:c>
      <x:c r="G308">
        <x:v>1.25</x:v>
      </x:c>
      <x:c r="H308" t="str">
        <x:v>Tamil Nadu Generation and Distribution Corp. Ltd. (TANGEDCO)</x:v>
      </x:c>
    </x:row>
    <x:row r="309">
      <x:c r="A309" t="str">
        <x:v>Small-Hydro</x:v>
      </x:c>
      <x:c r="B309" t="str">
        <x:v>operational</x:v>
      </x:c>
      <x:c r="C309" t="str">
        <x:v>Perunchani Small Hydro Project</x:v>
      </x:c>
      <x:c r="D309" t="str">
        <x:v>Tamil Nadu</x:v>
      </x:c>
      <x:c r="E309" t="str">
        <x:v>Kanniyakumari</x:v>
      </x:c>
      <x:c r="F309" t="str">
        <x:v>2005-12-21</x:v>
      </x:c>
      <x:c r="G309">
        <x:v>0.65</x:v>
      </x:c>
      <x:c r="H309" t="str">
        <x:v>Tamil Nadu Generation and Distribution Corp. Ltd. (TANGEDCO)</x:v>
      </x:c>
    </x:row>
    <x:row r="310">
      <x:c r="A310" t="str">
        <x:v>Small-Hydro</x:v>
      </x:c>
      <x:c r="B310" t="str">
        <x:v>operational</x:v>
      </x:c>
      <x:c r="C310" t="str">
        <x:v>Perunchani Small Hydro Project</x:v>
      </x:c>
      <x:c r="D310" t="str">
        <x:v>Tamil Nadu</x:v>
      </x:c>
      <x:c r="E310" t="str">
        <x:v>Kanniyakumari</x:v>
      </x:c>
      <x:c r="F310" t="str">
        <x:v>2006-01-22</x:v>
      </x:c>
      <x:c r="G310">
        <x:v>0.65</x:v>
      </x:c>
      <x:c r="H310" t="str">
        <x:v>Tamil Nadu Generation and Distribution Corp. Ltd. (TANGEDCO)</x:v>
      </x:c>
    </x:row>
    <x:row r="311">
      <x:c r="A311" t="str">
        <x:v>Small-Hydro</x:v>
      </x:c>
      <x:c r="B311" t="str">
        <x:v>operational</x:v>
      </x:c>
      <x:c r="C311" t="str">
        <x:v>Punachi Small Hydro Project</x:v>
      </x:c>
      <x:c r="D311" t="str">
        <x:v>Tamil Nadu</x:v>
      </x:c>
      <x:c r="E311" t="str">
        <x:v>Coimbatore</x:v>
      </x:c>
      <x:c r="F311" t="str">
        <x:v>1992-11-12</x:v>
      </x:c>
      <x:c r="G311">
        <x:v>1</x:v>
      </x:c>
      <x:c r="H311" t="str">
        <x:v>Tamil Nadu Generation and Distribution Corp. Ltd. (TANGEDCO)</x:v>
      </x:c>
    </x:row>
    <x:row r="312">
      <x:c r="A312" t="str">
        <x:v>Small-Hydro</x:v>
      </x:c>
      <x:c r="B312" t="str">
        <x:v>operational</x:v>
      </x:c>
      <x:c r="C312" t="str">
        <x:v>Punachi Small Hydro Project</x:v>
      </x:c>
      <x:c r="D312" t="str">
        <x:v>Tamil Nadu</x:v>
      </x:c>
      <x:c r="E312" t="str">
        <x:v>Coimbatore</x:v>
      </x:c>
      <x:c r="F312" t="str">
        <x:v>1992-12-16</x:v>
      </x:c>
      <x:c r="G312">
        <x:v>1</x:v>
      </x:c>
      <x:c r="H312" t="str">
        <x:v>Tamil Nadu Generation and Distribution Corp. Ltd. (TANGEDCO)</x:v>
      </x:c>
    </x:row>
    <x:row r="313">
      <x:c r="A313" t="str">
        <x:v>Small-Hydro</x:v>
      </x:c>
      <x:c r="B313" t="str">
        <x:v>operational</x:v>
      </x:c>
      <x:c r="C313" t="str">
        <x:v>Pykara Micro Power House</x:v>
      </x:c>
      <x:c r="D313" t="str">
        <x:v>Tamil Nadu</x:v>
      </x:c>
      <x:c r="E313" t="str">
        <x:v>Nilgiris</x:v>
      </x:c>
      <x:c r="F313" t="str">
        <x:v>1989-10-09</x:v>
      </x:c>
      <x:c r="G313">
        <x:v>2</x:v>
      </x:c>
      <x:c r="H313" t="str">
        <x:v>Tamil Nadu Generation and Distribution Corp. Ltd. (TANGEDCO)</x:v>
      </x:c>
    </x:row>
    <x:row r="314">
      <x:c r="A314" t="str">
        <x:v>Small-Hydro</x:v>
      </x:c>
      <x:c r="B314" t="str">
        <x:v>operational</x:v>
      </x:c>
      <x:c r="C314" t="str">
        <x:v>Sathanur Small Hydro Project</x:v>
      </x:c>
      <x:c r="D314" t="str">
        <x:v>Tamil Nadu</x:v>
      </x:c>
      <x:c r="E314" t="str">
        <x:v>Tiruvannamalai</x:v>
      </x:c>
      <x:c r="F314" t="str">
        <x:v>1999-03-10</x:v>
      </x:c>
      <x:c r="G314">
        <x:v>7.5</x:v>
      </x:c>
      <x:c r="H314" t="str">
        <x:v>Tamil Nadu Generation and Distribution Corp. Ltd. (TANGEDCO)</x:v>
      </x:c>
    </x:row>
    <x:row r="315">
      <x:c r="A315" t="str">
        <x:v>Small-Hydro</x:v>
      </x:c>
      <x:c r="B315" t="str">
        <x:v>operational</x:v>
      </x:c>
      <x:c r="C315" t="str">
        <x:v>Servalar Small Hydro Project</x:v>
      </x:c>
      <x:c r="D315" t="str">
        <x:v>Tamil Nadu</x:v>
      </x:c>
      <x:c r="E315" t="str">
        <x:v>Tirunelveli</x:v>
      </x:c>
      <x:c r="F315" t="str">
        <x:v>1986-03-23</x:v>
      </x:c>
      <x:c r="G315">
        <x:v>20</x:v>
      </x:c>
      <x:c r="H315" t="str">
        <x:v>Tamil Nadu Generation and Distribution Corp. Ltd. (TANGEDCO)</x:v>
      </x:c>
    </x:row>
    <x:row r="316">
      <x:c r="A316" t="str">
        <x:v>Small-Hydro</x:v>
      </x:c>
      <x:c r="B316" t="str">
        <x:v>operational</x:v>
      </x:c>
      <x:c r="C316" t="str">
        <x:v>Sholayar II Power House</x:v>
      </x:c>
      <x:c r="D316" t="str">
        <x:v>Tamil Nadu</x:v>
      </x:c>
      <x:c r="E316" t="str">
        <x:v>Coimbatore</x:v>
      </x:c>
      <x:c r="F316" t="str">
        <x:v>1971-03-29</x:v>
      </x:c>
      <x:c r="G316">
        <x:v>25</x:v>
      </x:c>
      <x:c r="H316" t="str">
        <x:v>Tamil Nadu Generation and Distribution Corp. Ltd. (TANGEDCO)</x:v>
      </x:c>
    </x:row>
    <x:row r="317">
      <x:c r="A317" t="str">
        <x:v>Small-Hydro</x:v>
      </x:c>
      <x:c r="B317" t="str">
        <x:v>operational</x:v>
      </x:c>
      <x:c r="C317" t="str">
        <x:v>Tamil Nadu Small Hydro Project Bunched</x:v>
      </x:c>
      <x:c r="D317" t="str">
        <x:v>Tamil Nadu</x:v>
      </x:c>
      <x:c r="E317" t="str">
        <x:v>Location TBC</x:v>
      </x:c>
      <x:c r="F317" t="str">
        <x:v>N.A.</x:v>
      </x:c>
      <x:c r="G317">
        <x:v>0.35</x:v>
      </x:c>
      <x:c r="H317" t="str">
        <x:v>nan</x:v>
      </x:c>
    </x:row>
    <x:row r="318">
      <x:c r="A318" t="str">
        <x:v>Small-Hydro</x:v>
      </x:c>
      <x:c r="B318" t="str">
        <x:v>operational</x:v>
      </x:c>
      <x:c r="C318" t="str">
        <x:v>Thirumurthy Mini Hydel Project</x:v>
      </x:c>
      <x:c r="D318" t="str">
        <x:v>Tamil Nadu</x:v>
      </x:c>
      <x:c r="E318" t="str">
        <x:v>Tiruppur</x:v>
      </x:c>
      <x:c r="F318" t="str">
        <x:v>2000-03-20</x:v>
      </x:c>
      <x:c r="G318">
        <x:v>0.65</x:v>
      </x:c>
      <x:c r="H318" t="str">
        <x:v>Tamil Nadu Generation and Distribution Corp. Ltd. (TANGEDCO)</x:v>
      </x:c>
    </x:row>
    <x:row r="319">
      <x:c r="A319" t="str">
        <x:v>Small-Hydro</x:v>
      </x:c>
      <x:c r="B319" t="str">
        <x:v>operational</x:v>
      </x:c>
      <x:c r="C319" t="str">
        <x:v>Thirumurthy Mini Hydel Project</x:v>
      </x:c>
      <x:c r="D319" t="str">
        <x:v>Tamil Nadu</x:v>
      </x:c>
      <x:c r="E319" t="str">
        <x:v>Tiruppur</x:v>
      </x:c>
      <x:c r="F319" t="str">
        <x:v>2000-03-20</x:v>
      </x:c>
      <x:c r="G319">
        <x:v>0.65</x:v>
      </x:c>
      <x:c r="H319" t="str">
        <x:v>Tamil Nadu Generation and Distribution Corp. Ltd. (TANGEDCO)</x:v>
      </x:c>
    </x:row>
    <x:row r="320">
      <x:c r="A320" t="str">
        <x:v>Small-Hydro</x:v>
      </x:c>
      <x:c r="B320" t="str">
        <x:v>operational</x:v>
      </x:c>
      <x:c r="C320" t="str">
        <x:v>Thirumurthy Mini Hydel Project</x:v>
      </x:c>
      <x:c r="D320" t="str">
        <x:v>Tamil Nadu</x:v>
      </x:c>
      <x:c r="E320" t="str">
        <x:v>Tiruppur</x:v>
      </x:c>
      <x:c r="F320" t="str">
        <x:v>2000-03-20</x:v>
      </x:c>
      <x:c r="G320">
        <x:v>0.65</x:v>
      </x:c>
      <x:c r="H320" t="str">
        <x:v>Tamil Nadu Generation and Distribution Corp. Ltd. (TANGEDCO)</x:v>
      </x:c>
    </x:row>
    <x:row r="321">
      <x:c r="A321" t="str">
        <x:v>Small-Hydro</x:v>
      </x:c>
      <x:c r="B321" t="str">
        <x:v>operational</x:v>
      </x:c>
      <x:c r="C321" t="str">
        <x:v>Vaigai Hydro Power Project</x:v>
      </x:c>
      <x:c r="D321" t="str">
        <x:v>Tamil Nadu</x:v>
      </x:c>
      <x:c r="E321" t="str">
        <x:v>Kanniyakumari</x:v>
      </x:c>
      <x:c r="F321" t="str">
        <x:v>1990-03-04</x:v>
      </x:c>
      <x:c r="G321">
        <x:v>3</x:v>
      </x:c>
      <x:c r="H321" t="str">
        <x:v>Tamil Nadu Generation and Distribution Corp. Ltd. (TANGEDCO)</x:v>
      </x:c>
    </x:row>
    <x:row r="322">
      <x:c r="A322" t="str">
        <x:v>Small-Hydro</x:v>
      </x:c>
      <x:c r="B322" t="str">
        <x:v>operational</x:v>
      </x:c>
      <x:c r="C322" t="str">
        <x:v>Vaigai Hydro Power Project</x:v>
      </x:c>
      <x:c r="D322" t="str">
        <x:v>Tamil Nadu</x:v>
      </x:c>
      <x:c r="E322" t="str">
        <x:v>Theni</x:v>
      </x:c>
      <x:c r="F322" t="str">
        <x:v>1990-03-04</x:v>
      </x:c>
      <x:c r="G322">
        <x:v>3</x:v>
      </x:c>
      <x:c r="H322" t="str">
        <x:v>Tamil Nadu Generation and Distribution Corp. Ltd. (TANGEDCO)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42" hidden="0" customWidth="1"/>
    <x:col min="5" max="5" width="12" hidden="0" customWidth="1"/>
    <x:col min="6" max="6" width="22" hidden="0" customWidth="1"/>
    <x:col min="7" max="7" width="20" hidden="0" customWidth="1"/>
    <x:col min="8" max="8" width="18" hidden="0" customWidth="1"/>
    <x:col min="9" max="9" width="20" hidden="0" customWidth="1"/>
    <x:col min="10" max="10" width="17" hidden="0" customWidth="1"/>
    <x:col min="11" max="11" width="21" hidden="0" customWidth="1"/>
    <x:col min="12" max="12" width="34" hidden="0" customWidth="1"/>
    <x:col min="13" max="13" width="44" hidden="0" customWidth="1"/>
    <x:col min="14" max="14" width="48" hidden="0" customWidth="1"/>
    <x:col min="15" max="15" width="12" hidden="0" customWidth="1"/>
    <x:col min="16" max="16" width="55" hidden="0" customWidth="1"/>
  </x:cols>
  <x:sheetData>
    <x:row r="1" ht="34" customHeight="1">
      <x:c r="A1" s="7" t="str">
        <x:v>Original Row</x:v>
      </x:c>
      <x:c r="B1" s="7" t="str">
        <x:v>Source</x:v>
      </x:c>
      <x:c r="C1" s="7" t="str">
        <x:v>Commissioning Group</x:v>
      </x:c>
      <x:c r="D1" s="7" t="str">
        <x:v>Name of Power Plant</x:v>
      </x:c>
      <x:c r="E1" s="7" t="str">
        <x:v>State</x:v>
      </x:c>
      <x:c r="F1" s="7" t="str">
        <x:v>Original District</x:v>
      </x:c>
      <x:c r="G1" s="7" t="str">
        <x:v>Allocated District</x:v>
      </x:c>
      <x:c r="H1" s="7" t="str">
        <x:v>Commissioning Date</x:v>
      </x:c>
      <x:c r="I1" s="7" t="str">
        <x:v>Original Capacity (MW)</x:v>
      </x:c>
      <x:c r="J1" s="7" t="str">
        <x:v>Allocation Share</x:v>
      </x:c>
      <x:c r="K1" s="7" t="str">
        <x:v>Allocated Capacity (MW)</x:v>
      </x:c>
      <x:c r="L1" s="7" t="str">
        <x:v>Implementing Agency</x:v>
      </x:c>
      <x:c r="M1" s="7" t="str">
        <x:v>Allocation Method</x:v>
      </x:c>
      <x:c r="N1" s="7" t="str">
        <x:v>Source URL</x:v>
      </x:c>
      <x:c r="O1" s="7" t="str">
        <x:v>Confidence</x:v>
      </x:c>
      <x:c r="P1" s="7" t="str">
        <x:v>Notes</x:v>
      </x:c>
    </x:row>
    <x:row r="2">
      <x:c r="A2" s="14" t="n">
        <x:v>2</x:v>
      </x:c>
      <x:c r="B2" s="14" t="str">
        <x:v>Coal</x:v>
      </x:c>
      <x:c r="C2" s="14" t="str">
        <x:v>pipeline</x:v>
      </x:c>
      <x:c r="D2" s="20" t="str">
        <x:v>Ennore SEZ Expansion SCTPP</x:v>
      </x:c>
      <x:c r="E2" s="14" t="str">
        <x:v>Tamil Nadu</x:v>
      </x:c>
      <x:c r="F2" s="14" t="str">
        <x:v>Tiruvallur</x:v>
      </x:c>
      <x:c r="G2" s="14" t="str">
        <x:v>Tiruvallur</x:v>
      </x:c>
      <x:c r="H2" s="14" t="str">
        <x:v>2027-03-01</x:v>
      </x:c>
      <x:c r="I2" s="15" t="n">
        <x:v>660</x:v>
      </x:c>
      <x:c r="J2" s="16" t="n">
        <x:v>1</x:v>
      </x:c>
      <x:c r="K2" s="15" t="n">
        <x:f>I2*J2</x:f>
        <x:v>660</x:v>
      </x:c>
      <x:c r="L2" s="20" t="str">
        <x:v>Tamil Nadu Generation &amp; Distribution Corp. Ltd. (TANGEDCO)</x:v>
      </x:c>
      <x:c r="M2" s="20" t="str">
        <x:v>District carried from original workbook</x:v>
      </x:c>
      <x:c r="N2" s="20" t="str"/>
      <x:c r="O2" s="20" t="str">
        <x:v>Existing</x:v>
      </x:c>
      <x:c r="P2" s="20" t="str">
        <x:v>No online correction applied because a single district was already provided.</x:v>
      </x:c>
    </x:row>
    <x:row r="3">
      <x:c r="A3" s="14" t="n">
        <x:v>3</x:v>
      </x:c>
      <x:c r="B3" s="14" t="str">
        <x:v>Coal</x:v>
      </x:c>
      <x:c r="C3" s="14" t="str">
        <x:v>pipeline</x:v>
      </x:c>
      <x:c r="D3" s="20" t="str">
        <x:v>Ennore SEZ Expansion SCTPP</x:v>
      </x:c>
      <x:c r="E3" s="14" t="str">
        <x:v>Tamil Nadu</x:v>
      </x:c>
      <x:c r="F3" s="14" t="str">
        <x:v>Tiruvallur</x:v>
      </x:c>
      <x:c r="G3" s="14" t="str">
        <x:v>Tiruvallur</x:v>
      </x:c>
      <x:c r="H3" s="14" t="str">
        <x:v>2027-05-01</x:v>
      </x:c>
      <x:c r="I3" s="15" t="n">
        <x:v>660</x:v>
      </x:c>
      <x:c r="J3" s="16" t="n">
        <x:v>1</x:v>
      </x:c>
      <x:c r="K3" s="15" t="n">
        <x:f>I3*J3</x:f>
        <x:v>660</x:v>
      </x:c>
      <x:c r="L3" s="20" t="str">
        <x:v>Tamil Nadu Generation &amp; Distribution Corp. Ltd. (TANGEDCO)</x:v>
      </x:c>
      <x:c r="M3" s="20" t="str">
        <x:v>District carried from original workbook</x:v>
      </x:c>
      <x:c r="N3" s="20" t="str"/>
      <x:c r="O3" s="20" t="str">
        <x:v>Existing</x:v>
      </x:c>
      <x:c r="P3" s="20" t="str">
        <x:v>No online correction applied because a single district was already provided.</x:v>
      </x:c>
    </x:row>
    <x:row r="4">
      <x:c r="A4" s="14" t="n">
        <x:v>4</x:v>
      </x:c>
      <x:c r="B4" s="14" t="str">
        <x:v>Coal</x:v>
      </x:c>
      <x:c r="C4" s="14" t="str">
        <x:v>retired</x:v>
      </x:c>
      <x:c r="D4" s="20" t="str">
        <x:v>Ennore TPS</x:v>
      </x:c>
      <x:c r="E4" s="14" t="str">
        <x:v>Tamil Nadu</x:v>
      </x:c>
      <x:c r="F4" s="14" t="str">
        <x:v>Thiruvallur</x:v>
      </x:c>
      <x:c r="G4" s="14" t="str">
        <x:v>Tiruvallur</x:v>
      </x:c>
      <x:c r="H4" s="14" t="str">
        <x:v>1970-03-01</x:v>
      </x:c>
      <x:c r="I4" s="15" t="n">
        <x:v>60</x:v>
      </x:c>
      <x:c r="J4" s="16" t="n">
        <x:v>1</x:v>
      </x:c>
      <x:c r="K4" s="15" t="n">
        <x:f>I4*J4</x:f>
        <x:v>60</x:v>
      </x:c>
      <x:c r="L4" s="20" t="str">
        <x:v>Tamil Nadu Generation &amp; Distribution Corp. Ltd. (TANGEDCO)</x:v>
      </x:c>
      <x:c r="M4" s="20" t="str">
        <x:v>District carried from original workbook</x:v>
      </x:c>
      <x:c r="N4" s="20" t="str"/>
      <x:c r="O4" s="20" t="str">
        <x:v>Existing</x:v>
      </x:c>
      <x:c r="P4" s="20" t="str">
        <x:v>No online correction applied because a single district was already provided.</x:v>
      </x:c>
    </x:row>
    <x:row r="5">
      <x:c r="A5" s="14" t="n">
        <x:v>5</x:v>
      </x:c>
      <x:c r="B5" s="14" t="str">
        <x:v>Coal</x:v>
      </x:c>
      <x:c r="C5" s="14" t="str">
        <x:v>retired</x:v>
      </x:c>
      <x:c r="D5" s="20" t="str">
        <x:v>Ennore TPS</x:v>
      </x:c>
      <x:c r="E5" s="14" t="str">
        <x:v>Tamil Nadu</x:v>
      </x:c>
      <x:c r="F5" s="14" t="str">
        <x:v>Thiruvallur</x:v>
      </x:c>
      <x:c r="G5" s="14" t="str">
        <x:v>Tiruvallur</x:v>
      </x:c>
      <x:c r="H5" s="14" t="str">
        <x:v>1971-02-01</x:v>
      </x:c>
      <x:c r="I5" s="15" t="n">
        <x:v>60</x:v>
      </x:c>
      <x:c r="J5" s="16" t="n">
        <x:v>1</x:v>
      </x:c>
      <x:c r="K5" s="15" t="n">
        <x:f>I5*J5</x:f>
        <x:v>60</x:v>
      </x:c>
      <x:c r="L5" s="20" t="str">
        <x:v>Tamil Nadu Generation &amp; Distribution Corp. Ltd. (TANGEDCO)</x:v>
      </x:c>
      <x:c r="M5" s="20" t="str">
        <x:v>District carried from original workbook</x:v>
      </x:c>
      <x:c r="N5" s="20" t="str"/>
      <x:c r="O5" s="20" t="str">
        <x:v>Existing</x:v>
      </x:c>
      <x:c r="P5" s="20" t="str">
        <x:v>No online correction applied because a single district was already provided.</x:v>
      </x:c>
    </x:row>
    <x:row r="6">
      <x:c r="A6" s="14" t="n">
        <x:v>6</x:v>
      </x:c>
      <x:c r="B6" s="14" t="str">
        <x:v>Coal</x:v>
      </x:c>
      <x:c r="C6" s="14" t="str">
        <x:v>retired</x:v>
      </x:c>
      <x:c r="D6" s="20" t="str">
        <x:v>Ennore TPS</x:v>
      </x:c>
      <x:c r="E6" s="14" t="str">
        <x:v>Tamil Nadu</x:v>
      </x:c>
      <x:c r="F6" s="14" t="str">
        <x:v>Thiruvallur</x:v>
      </x:c>
      <x:c r="G6" s="14" t="str">
        <x:v>Tiruvallur</x:v>
      </x:c>
      <x:c r="H6" s="14" t="str">
        <x:v>1972-05-01</x:v>
      </x:c>
      <x:c r="I6" s="15" t="n">
        <x:v>110</x:v>
      </x:c>
      <x:c r="J6" s="16" t="n">
        <x:v>1</x:v>
      </x:c>
      <x:c r="K6" s="15" t="n">
        <x:f>I6*J6</x:f>
        <x:v>110</x:v>
      </x:c>
      <x:c r="L6" s="20" t="str">
        <x:v>Tamil Nadu Generation &amp; Distribution Corp. Ltd. (TANGEDCO)</x:v>
      </x:c>
      <x:c r="M6" s="20" t="str">
        <x:v>District carried from original workbook</x:v>
      </x:c>
      <x:c r="N6" s="20" t="str"/>
      <x:c r="O6" s="20" t="str">
        <x:v>Existing</x:v>
      </x:c>
      <x:c r="P6" s="20" t="str">
        <x:v>No online correction applied because a single district was already provided.</x:v>
      </x:c>
    </x:row>
    <x:row r="7">
      <x:c r="A7" s="14" t="n">
        <x:v>7</x:v>
      </x:c>
      <x:c r="B7" s="14" t="str">
        <x:v>Coal</x:v>
      </x:c>
      <x:c r="C7" s="14" t="str">
        <x:v>retired</x:v>
      </x:c>
      <x:c r="D7" s="20" t="str">
        <x:v>Ennore TPS</x:v>
      </x:c>
      <x:c r="E7" s="14" t="str">
        <x:v>Tamil Nadu</x:v>
      </x:c>
      <x:c r="F7" s="14" t="str">
        <x:v>Thiruvallur</x:v>
      </x:c>
      <x:c r="G7" s="14" t="str">
        <x:v>Tiruvallur</x:v>
      </x:c>
      <x:c r="H7" s="14" t="str">
        <x:v>1973-05-01</x:v>
      </x:c>
      <x:c r="I7" s="15" t="n">
        <x:v>110</x:v>
      </x:c>
      <x:c r="J7" s="16" t="n">
        <x:v>1</x:v>
      </x:c>
      <x:c r="K7" s="15" t="n">
        <x:f>I7*J7</x:f>
        <x:v>110</x:v>
      </x:c>
      <x:c r="L7" s="20" t="str">
        <x:v>Tamil Nadu Generation &amp; Distribution Corp. Ltd. (TANGEDCO)</x:v>
      </x:c>
      <x:c r="M7" s="20" t="str">
        <x:v>District carried from original workbook</x:v>
      </x:c>
      <x:c r="N7" s="20" t="str"/>
      <x:c r="O7" s="20" t="str">
        <x:v>Existing</x:v>
      </x:c>
      <x:c r="P7" s="20" t="str">
        <x:v>No online correction applied because a single district was already provided.</x:v>
      </x:c>
    </x:row>
    <x:row r="8">
      <x:c r="A8" s="14" t="n">
        <x:v>8</x:v>
      </x:c>
      <x:c r="B8" s="14" t="str">
        <x:v>Coal</x:v>
      </x:c>
      <x:c r="C8" s="14" t="str">
        <x:v>retired</x:v>
      </x:c>
      <x:c r="D8" s="20" t="str">
        <x:v>Ennore TPS</x:v>
      </x:c>
      <x:c r="E8" s="14" t="str">
        <x:v>Tamil Nadu</x:v>
      </x:c>
      <x:c r="F8" s="14" t="str">
        <x:v>Thiruvallur</x:v>
      </x:c>
      <x:c r="G8" s="14" t="str">
        <x:v>Tiruvallur</x:v>
      </x:c>
      <x:c r="H8" s="14" t="str">
        <x:v>1975-12-01</x:v>
      </x:c>
      <x:c r="I8" s="15" t="n">
        <x:v>110</x:v>
      </x:c>
      <x:c r="J8" s="16" t="n">
        <x:v>1</x:v>
      </x:c>
      <x:c r="K8" s="15" t="n">
        <x:f>I8*J8</x:f>
        <x:v>110</x:v>
      </x:c>
      <x:c r="L8" s="20" t="str">
        <x:v>Tamil Nadu Generation &amp; Distribution Corp. Ltd. (TANGEDCO)</x:v>
      </x:c>
      <x:c r="M8" s="20" t="str">
        <x:v>District carried from original workbook</x:v>
      </x:c>
      <x:c r="N8" s="20" t="str"/>
      <x:c r="O8" s="20" t="str">
        <x:v>Existing</x:v>
      </x:c>
      <x:c r="P8" s="20" t="str">
        <x:v>No online correction applied because a single district was already provided.</x:v>
      </x:c>
    </x:row>
    <x:row r="9">
      <x:c r="A9" s="14" t="n">
        <x:v>9</x:v>
      </x:c>
      <x:c r="B9" s="14" t="str">
        <x:v>Coal</x:v>
      </x:c>
      <x:c r="C9" s="14" t="str">
        <x:v>operational</x:v>
      </x:c>
      <x:c r="D9" s="20" t="str">
        <x:v>ITPCL or Cuddalore TPP</x:v>
      </x:c>
      <x:c r="E9" s="14" t="str">
        <x:v>Tamil Nadu</x:v>
      </x:c>
      <x:c r="F9" s="14" t="str">
        <x:v>Cuddalore</x:v>
      </x:c>
      <x:c r="G9" s="14" t="str">
        <x:v>Cuddalore</x:v>
      </x:c>
      <x:c r="H9" s="14" t="str">
        <x:v>2015-09-01</x:v>
      </x:c>
      <x:c r="I9" s="15" t="n">
        <x:v>600</x:v>
      </x:c>
      <x:c r="J9" s="16" t="n">
        <x:v>1</x:v>
      </x:c>
      <x:c r="K9" s="15" t="n">
        <x:f>I9*J9</x:f>
        <x:v>600</x:v>
      </x:c>
      <x:c r="L9" s="20" t="str">
        <x:v>IL&amp;FS Tamil Nadu Power Co. Ltd.</x:v>
      </x:c>
      <x:c r="M9" s="20" t="str">
        <x:v>District carried from original workbook</x:v>
      </x:c>
      <x:c r="N9" s="20" t="str"/>
      <x:c r="O9" s="20" t="str">
        <x:v>Existing</x:v>
      </x:c>
      <x:c r="P9" s="20" t="str">
        <x:v>No online correction applied because a single district was already provided.</x:v>
      </x:c>
    </x:row>
    <x:row r="10">
      <x:c r="A10" s="14" t="n">
        <x:v>10</x:v>
      </x:c>
      <x:c r="B10" s="14" t="str">
        <x:v>Coal</x:v>
      </x:c>
      <x:c r="C10" s="14" t="str">
        <x:v>operational</x:v>
      </x:c>
      <x:c r="D10" s="20" t="str">
        <x:v>ITPCL or Cuddalore TPP</x:v>
      </x:c>
      <x:c r="E10" s="14" t="str">
        <x:v>Tamil Nadu</x:v>
      </x:c>
      <x:c r="F10" s="14" t="str">
        <x:v>Cuddalore</x:v>
      </x:c>
      <x:c r="G10" s="14" t="str">
        <x:v>Cuddalore</x:v>
      </x:c>
      <x:c r="H10" s="14" t="str">
        <x:v>2016-04-01</x:v>
      </x:c>
      <x:c r="I10" s="15" t="n">
        <x:v>600</x:v>
      </x:c>
      <x:c r="J10" s="16" t="n">
        <x:v>1</x:v>
      </x:c>
      <x:c r="K10" s="15" t="n">
        <x:f>I10*J10</x:f>
        <x:v>600</x:v>
      </x:c>
      <x:c r="L10" s="20" t="str">
        <x:v>IL&amp;FS Tamil Nadu Power Co. Ltd.</x:v>
      </x:c>
      <x:c r="M10" s="20" t="str">
        <x:v>District carried from original workbook</x:v>
      </x:c>
      <x:c r="N10" s="20" t="str"/>
      <x:c r="O10" s="20" t="str">
        <x:v>Existing</x:v>
      </x:c>
      <x:c r="P10" s="20" t="str">
        <x:v>No online correction applied because a single district was already provided.</x:v>
      </x:c>
    </x:row>
    <x:row r="11">
      <x:c r="A11" s="14" t="n">
        <x:v>11</x:v>
      </x:c>
      <x:c r="B11" s="14" t="str">
        <x:v>Coal</x:v>
      </x:c>
      <x:c r="C11" s="14" t="str">
        <x:v>operational</x:v>
      </x:c>
      <x:c r="D11" s="20" t="str">
        <x:v>Mettur TPS</x:v>
      </x:c>
      <x:c r="E11" s="14" t="str">
        <x:v>Tamil Nadu</x:v>
      </x:c>
      <x:c r="F11" s="14" t="str">
        <x:v>Salem</x:v>
      </x:c>
      <x:c r="G11" s="14" t="str">
        <x:v>Salem</x:v>
      </x:c>
      <x:c r="H11" s="14" t="str">
        <x:v>1987-01-07</x:v>
      </x:c>
      <x:c r="I11" s="15" t="n">
        <x:v>210</x:v>
      </x:c>
      <x:c r="J11" s="16" t="n">
        <x:v>1</x:v>
      </x:c>
      <x:c r="K11" s="15" t="n">
        <x:f>I11*J11</x:f>
        <x:v>210</x:v>
      </x:c>
      <x:c r="L11" s="20" t="str">
        <x:v>Tamil Nadu Generation &amp; Distribution Corp. Ltd. (TANGEDCO)</x:v>
      </x:c>
      <x:c r="M11" s="20" t="str">
        <x:v>District carried from original workbook</x:v>
      </x:c>
      <x:c r="N11" s="20" t="str"/>
      <x:c r="O11" s="20" t="str">
        <x:v>Existing</x:v>
      </x:c>
      <x:c r="P11" s="20" t="str">
        <x:v>No online correction applied because a single district was already provided.</x:v>
      </x:c>
    </x:row>
    <x:row r="12">
      <x:c r="A12" s="14" t="n">
        <x:v>12</x:v>
      </x:c>
      <x:c r="B12" s="14" t="str">
        <x:v>Coal</x:v>
      </x:c>
      <x:c r="C12" s="14" t="str">
        <x:v>operational</x:v>
      </x:c>
      <x:c r="D12" s="20" t="str">
        <x:v>Mettur TPS</x:v>
      </x:c>
      <x:c r="E12" s="14" t="str">
        <x:v>Tamil Nadu</x:v>
      </x:c>
      <x:c r="F12" s="14" t="str">
        <x:v>Salem</x:v>
      </x:c>
      <x:c r="G12" s="14" t="str">
        <x:v>Salem</x:v>
      </x:c>
      <x:c r="H12" s="14" t="str">
        <x:v>1987-01-12</x:v>
      </x:c>
      <x:c r="I12" s="15" t="n">
        <x:v>210</x:v>
      </x:c>
      <x:c r="J12" s="16" t="n">
        <x:v>1</x:v>
      </x:c>
      <x:c r="K12" s="15" t="n">
        <x:f>I12*J12</x:f>
        <x:v>210</x:v>
      </x:c>
      <x:c r="L12" s="20" t="str">
        <x:v>Tamil Nadu Generation &amp; Distribution Corp. Ltd. (TANGEDCO)</x:v>
      </x:c>
      <x:c r="M12" s="20" t="str">
        <x:v>District carried from original workbook</x:v>
      </x:c>
      <x:c r="N12" s="20" t="str"/>
      <x:c r="O12" s="20" t="str">
        <x:v>Existing</x:v>
      </x:c>
      <x:c r="P12" s="20" t="str">
        <x:v>No online correction applied because a single district was already provided.</x:v>
      </x:c>
    </x:row>
    <x:row r="13">
      <x:c r="A13" s="14" t="n">
        <x:v>13</x:v>
      </x:c>
      <x:c r="B13" s="14" t="str">
        <x:v>Coal</x:v>
      </x:c>
      <x:c r="C13" s="14" t="str">
        <x:v>operational</x:v>
      </x:c>
      <x:c r="D13" s="20" t="str">
        <x:v>Mettur TPS</x:v>
      </x:c>
      <x:c r="E13" s="14" t="str">
        <x:v>Tamil Nadu</x:v>
      </x:c>
      <x:c r="F13" s="14" t="str">
        <x:v>Salem</x:v>
      </x:c>
      <x:c r="G13" s="14" t="str">
        <x:v>Salem</x:v>
      </x:c>
      <x:c r="H13" s="14" t="str">
        <x:v>1989-03-22</x:v>
      </x:c>
      <x:c r="I13" s="15" t="n">
        <x:v>210</x:v>
      </x:c>
      <x:c r="J13" s="16" t="n">
        <x:v>1</x:v>
      </x:c>
      <x:c r="K13" s="15" t="n">
        <x:f>I13*J13</x:f>
        <x:v>210</x:v>
      </x:c>
      <x:c r="L13" s="20" t="str">
        <x:v>Tamil Nadu Generation &amp; Distribution Corp. Ltd. (TANGEDCO)</x:v>
      </x:c>
      <x:c r="M13" s="20" t="str">
        <x:v>District carried from original workbook</x:v>
      </x:c>
      <x:c r="N13" s="20" t="str"/>
      <x:c r="O13" s="20" t="str">
        <x:v>Existing</x:v>
      </x:c>
      <x:c r="P13" s="20" t="str">
        <x:v>No online correction applied because a single district was already provided.</x:v>
      </x:c>
    </x:row>
    <x:row r="14">
      <x:c r="A14" s="14" t="n">
        <x:v>14</x:v>
      </x:c>
      <x:c r="B14" s="14" t="str">
        <x:v>Coal</x:v>
      </x:c>
      <x:c r="C14" s="14" t="str">
        <x:v>operational</x:v>
      </x:c>
      <x:c r="D14" s="20" t="str">
        <x:v>Mettur TPS</x:v>
      </x:c>
      <x:c r="E14" s="14" t="str">
        <x:v>Tamil Nadu</x:v>
      </x:c>
      <x:c r="F14" s="14" t="str">
        <x:v>Salem</x:v>
      </x:c>
      <x:c r="G14" s="14" t="str">
        <x:v>Salem</x:v>
      </x:c>
      <x:c r="H14" s="14" t="str">
        <x:v>1990-03-27</x:v>
      </x:c>
      <x:c r="I14" s="15" t="n">
        <x:v>210</x:v>
      </x:c>
      <x:c r="J14" s="16" t="n">
        <x:v>1</x:v>
      </x:c>
      <x:c r="K14" s="15" t="n">
        <x:f>I14*J14</x:f>
        <x:v>210</x:v>
      </x:c>
      <x:c r="L14" s="20" t="str">
        <x:v>Tamil Nadu Generation &amp; Distribution Corp. Ltd. (TANGEDCO)</x:v>
      </x:c>
      <x:c r="M14" s="20" t="str">
        <x:v>District carried from original workbook</x:v>
      </x:c>
      <x:c r="N14" s="20" t="str"/>
      <x:c r="O14" s="20" t="str">
        <x:v>Existing</x:v>
      </x:c>
      <x:c r="P14" s="20" t="str">
        <x:v>No online correction applied because a single district was already provided.</x:v>
      </x:c>
    </x:row>
    <x:row r="15">
      <x:c r="A15" s="14" t="n">
        <x:v>15</x:v>
      </x:c>
      <x:c r="B15" s="14" t="str">
        <x:v>Coal</x:v>
      </x:c>
      <x:c r="C15" s="14" t="str">
        <x:v>operational</x:v>
      </x:c>
      <x:c r="D15" s="20" t="str">
        <x:v>Mettur TPS</x:v>
      </x:c>
      <x:c r="E15" s="14" t="str">
        <x:v>Tamil Nadu</x:v>
      </x:c>
      <x:c r="F15" s="14" t="str">
        <x:v>Salem</x:v>
      </x:c>
      <x:c r="G15" s="14" t="str">
        <x:v>Salem</x:v>
      </x:c>
      <x:c r="H15" s="14" t="str">
        <x:v>2012-10-11</x:v>
      </x:c>
      <x:c r="I15" s="15" t="n">
        <x:v>600</x:v>
      </x:c>
      <x:c r="J15" s="16" t="n">
        <x:v>1</x:v>
      </x:c>
      <x:c r="K15" s="15" t="n">
        <x:f>I15*J15</x:f>
        <x:v>600</x:v>
      </x:c>
      <x:c r="L15" s="20" t="str">
        <x:v>Tamil Nadu Generation &amp; Distribution Corp. Ltd. (TANGEDCO)</x:v>
      </x:c>
      <x:c r="M15" s="20" t="str">
        <x:v>District carried from original workbook</x:v>
      </x:c>
      <x:c r="N15" s="20" t="str"/>
      <x:c r="O15" s="20" t="str">
        <x:v>Existing</x:v>
      </x:c>
      <x:c r="P15" s="20" t="str">
        <x:v>No online correction applied because a single district was already provided.</x:v>
      </x:c>
    </x:row>
    <x:row r="16">
      <x:c r="A16" s="14" t="n">
        <x:v>16</x:v>
      </x:c>
      <x:c r="B16" s="14" t="str">
        <x:v>Coal</x:v>
      </x:c>
      <x:c r="C16" s="14" t="str">
        <x:v>operational</x:v>
      </x:c>
      <x:c r="D16" s="20" t="str">
        <x:v>Muthiara TPP</x:v>
      </x:c>
      <x:c r="E16" s="14" t="str">
        <x:v>Tamil Nadu</x:v>
      </x:c>
      <x:c r="F16" s="14" t="str">
        <x:v>Thoothukudi</x:v>
      </x:c>
      <x:c r="G16" s="14" t="str">
        <x:v>Thoothukudi</x:v>
      </x:c>
      <x:c r="H16" s="14" t="str">
        <x:v>2014-12-02</x:v>
      </x:c>
      <x:c r="I16" s="15" t="n">
        <x:v>600</x:v>
      </x:c>
      <x:c r="J16" s="16" t="n">
        <x:v>1</x:v>
      </x:c>
      <x:c r="K16" s="15" t="n">
        <x:f>I16*J16</x:f>
        <x:v>600</x:v>
      </x:c>
      <x:c r="L16" s="20" t="str">
        <x:v>Coastal Energen Pvt. Ltd. (CEPL)</x:v>
      </x:c>
      <x:c r="M16" s="20" t="str">
        <x:v>District carried from original workbook</x:v>
      </x:c>
      <x:c r="N16" s="20" t="str"/>
      <x:c r="O16" s="20" t="str">
        <x:v>Existing</x:v>
      </x:c>
      <x:c r="P16" s="20" t="str">
        <x:v>No online correction applied because a single district was already provided.</x:v>
      </x:c>
    </x:row>
    <x:row r="17">
      <x:c r="A17" s="14" t="n">
        <x:v>17</x:v>
      </x:c>
      <x:c r="B17" s="14" t="str">
        <x:v>Coal</x:v>
      </x:c>
      <x:c r="C17" s="14" t="str">
        <x:v>operational</x:v>
      </x:c>
      <x:c r="D17" s="20" t="str">
        <x:v>Muthiara TPP</x:v>
      </x:c>
      <x:c r="E17" s="14" t="str">
        <x:v>Tamil Nadu</x:v>
      </x:c>
      <x:c r="F17" s="14" t="str">
        <x:v>Thoothukudi</x:v>
      </x:c>
      <x:c r="G17" s="14" t="str">
        <x:v>Thoothukudi</x:v>
      </x:c>
      <x:c r="H17" s="14" t="str">
        <x:v>2016-01-02</x:v>
      </x:c>
      <x:c r="I17" s="15" t="n">
        <x:v>600</x:v>
      </x:c>
      <x:c r="J17" s="16" t="n">
        <x:v>1</x:v>
      </x:c>
      <x:c r="K17" s="15" t="n">
        <x:f>I17*J17</x:f>
        <x:v>600</x:v>
      </x:c>
      <x:c r="L17" s="20" t="str">
        <x:v>Coastal Energen Pvt. Ltd. (CEPL)</x:v>
      </x:c>
      <x:c r="M17" s="20" t="str">
        <x:v>District carried from original workbook</x:v>
      </x:c>
      <x:c r="N17" s="20" t="str"/>
      <x:c r="O17" s="20" t="str">
        <x:v>Existing</x:v>
      </x:c>
      <x:c r="P17" s="20" t="str">
        <x:v>No online correction applied because a single district was already provided.</x:v>
      </x:c>
    </x:row>
    <x:row r="18">
      <x:c r="A18" s="14" t="n">
        <x:v>18</x:v>
      </x:c>
      <x:c r="B18" s="14" t="str">
        <x:v>Coal</x:v>
      </x:c>
      <x:c r="C18" s="14" t="str">
        <x:v>operational</x:v>
      </x:c>
      <x:c r="D18" s="20" t="str">
        <x:v>Neyveli (EXT) TPS I</x:v>
      </x:c>
      <x:c r="E18" s="14" t="str">
        <x:v>Tamil Nadu</x:v>
      </x:c>
      <x:c r="F18" s="14" t="str">
        <x:v>Cuddalore</x:v>
      </x:c>
      <x:c r="G18" s="14" t="str">
        <x:v>Cuddalore</x:v>
      </x:c>
      <x:c r="H18" s="14" t="str">
        <x:v>2002-10-01</x:v>
      </x:c>
      <x:c r="I18" s="15" t="n">
        <x:v>210</x:v>
      </x:c>
      <x:c r="J18" s="16" t="n">
        <x:v>1</x:v>
      </x:c>
      <x:c r="K18" s="15" t="n">
        <x:f>I18*J18</x:f>
        <x:v>210</x:v>
      </x:c>
      <x:c r="L18" s="20" t="str">
        <x:v>NLC India Limited (formerly Neyveli Lignite Corp. Ltd.)</x:v>
      </x:c>
      <x:c r="M18" s="20" t="str">
        <x:v>District carried from original workbook</x:v>
      </x:c>
      <x:c r="N18" s="20" t="str"/>
      <x:c r="O18" s="20" t="str">
        <x:v>Existing</x:v>
      </x:c>
      <x:c r="P18" s="20" t="str">
        <x:v>No online correction applied because a single district was already provided.</x:v>
      </x:c>
    </x:row>
    <x:row r="19">
      <x:c r="A19" s="14" t="n">
        <x:v>19</x:v>
      </x:c>
      <x:c r="B19" s="14" t="str">
        <x:v>Coal</x:v>
      </x:c>
      <x:c r="C19" s="14" t="str">
        <x:v>operational</x:v>
      </x:c>
      <x:c r="D19" s="20" t="str">
        <x:v>Neyveli (EXT) TPS I</x:v>
      </x:c>
      <x:c r="E19" s="14" t="str">
        <x:v>Tamil Nadu</x:v>
      </x:c>
      <x:c r="F19" s="14" t="str">
        <x:v>Cuddalore</x:v>
      </x:c>
      <x:c r="G19" s="14" t="str">
        <x:v>Cuddalore</x:v>
      </x:c>
      <x:c r="H19" s="14" t="str">
        <x:v>2003-07-01</x:v>
      </x:c>
      <x:c r="I19" s="15" t="n">
        <x:v>210</x:v>
      </x:c>
      <x:c r="J19" s="16" t="n">
        <x:v>1</x:v>
      </x:c>
      <x:c r="K19" s="15" t="n">
        <x:f>I19*J19</x:f>
        <x:v>210</x:v>
      </x:c>
      <x:c r="L19" s="20" t="str">
        <x:v>NLC India Limited (formerly Neyveli Lignite Corp. Ltd.)</x:v>
      </x:c>
      <x:c r="M19" s="20" t="str">
        <x:v>District carried from original workbook</x:v>
      </x:c>
      <x:c r="N19" s="20" t="str"/>
      <x:c r="O19" s="20" t="str">
        <x:v>Existing</x:v>
      </x:c>
      <x:c r="P19" s="20" t="str">
        <x:v>No online correction applied because a single district was already provided.</x:v>
      </x:c>
    </x:row>
    <x:row r="20">
      <x:c r="A20" s="14" t="n">
        <x:v>20</x:v>
      </x:c>
      <x:c r="B20" s="14" t="str">
        <x:v>Coal</x:v>
      </x:c>
      <x:c r="C20" s="14" t="str">
        <x:v>operational</x:v>
      </x:c>
      <x:c r="D20" s="20" t="str">
        <x:v>Neyveli (EXT) TPS II</x:v>
      </x:c>
      <x:c r="E20" s="14" t="str">
        <x:v>Tamil Nadu</x:v>
      </x:c>
      <x:c r="F20" s="14" t="str">
        <x:v>Cuddalore</x:v>
      </x:c>
      <x:c r="G20" s="14" t="str">
        <x:v>Cuddalore</x:v>
      </x:c>
      <x:c r="H20" s="14" t="str">
        <x:v>2012-02-04</x:v>
      </x:c>
      <x:c r="I20" s="15" t="n">
        <x:v>250</x:v>
      </x:c>
      <x:c r="J20" s="16" t="n">
        <x:v>1</x:v>
      </x:c>
      <x:c r="K20" s="15" t="n">
        <x:f>I20*J20</x:f>
        <x:v>250</x:v>
      </x:c>
      <x:c r="L20" s="20" t="str">
        <x:v>NLC India Limited (formerly Neyveli Lignite Corp. Ltd.)</x:v>
      </x:c>
      <x:c r="M20" s="20" t="str">
        <x:v>District carried from original workbook</x:v>
      </x:c>
      <x:c r="N20" s="20" t="str"/>
      <x:c r="O20" s="20" t="str">
        <x:v>Existing</x:v>
      </x:c>
      <x:c r="P20" s="20" t="str">
        <x:v>No online correction applied because a single district was already provided.</x:v>
      </x:c>
    </x:row>
    <x:row r="21">
      <x:c r="A21" s="14" t="n">
        <x:v>21</x:v>
      </x:c>
      <x:c r="B21" s="14" t="str">
        <x:v>Coal</x:v>
      </x:c>
      <x:c r="C21" s="14" t="str">
        <x:v>operational</x:v>
      </x:c>
      <x:c r="D21" s="20" t="str">
        <x:v>Neyveli (EXT) TPS II</x:v>
      </x:c>
      <x:c r="E21" s="14" t="str">
        <x:v>Tamil Nadu</x:v>
      </x:c>
      <x:c r="F21" s="14" t="str">
        <x:v>Cuddalore</x:v>
      </x:c>
      <x:c r="G21" s="14" t="str">
        <x:v>Cuddalore</x:v>
      </x:c>
      <x:c r="H21" s="14" t="str">
        <x:v>2015-01-24</x:v>
      </x:c>
      <x:c r="I21" s="15" t="n">
        <x:v>250</x:v>
      </x:c>
      <x:c r="J21" s="16" t="n">
        <x:v>1</x:v>
      </x:c>
      <x:c r="K21" s="15" t="n">
        <x:f>I21*J21</x:f>
        <x:v>250</x:v>
      </x:c>
      <x:c r="L21" s="20" t="str">
        <x:v>NLC India Limited (formerly Neyveli Lignite Corp. Ltd.)</x:v>
      </x:c>
      <x:c r="M21" s="20" t="str">
        <x:v>District carried from original workbook</x:v>
      </x:c>
      <x:c r="N21" s="20" t="str"/>
      <x:c r="O21" s="20" t="str">
        <x:v>Existing</x:v>
      </x:c>
      <x:c r="P21" s="20" t="str">
        <x:v>No online correction applied because a single district was already provided.</x:v>
      </x:c>
    </x:row>
    <x:row r="22">
      <x:c r="A22" s="14" t="n">
        <x:v>22</x:v>
      </x:c>
      <x:c r="B22" s="14" t="str">
        <x:v>Coal</x:v>
      </x:c>
      <x:c r="C22" s="14" t="str">
        <x:v>operational</x:v>
      </x:c>
      <x:c r="D22" s="20" t="str">
        <x:v>Neyveli (New) TPP /Neyveli Extension</x:v>
      </x:c>
      <x:c r="E22" s="14" t="str">
        <x:v>Tamil Nadu</x:v>
      </x:c>
      <x:c r="F22" s="14" t="str">
        <x:v>Cuddalore</x:v>
      </x:c>
      <x:c r="G22" s="14" t="str">
        <x:v>Cuddalore</x:v>
      </x:c>
      <x:c r="H22" s="14" t="str">
        <x:v>2019-12-01</x:v>
      </x:c>
      <x:c r="I22" s="15" t="n">
        <x:v>500</x:v>
      </x:c>
      <x:c r="J22" s="16" t="n">
        <x:v>1</x:v>
      </x:c>
      <x:c r="K22" s="15" t="n">
        <x:f>I22*J22</x:f>
        <x:v>500</x:v>
      </x:c>
      <x:c r="L22" s="20" t="str">
        <x:v>NLC India Limited (formerly Neyveli Lignite Corp. Ltd.)</x:v>
      </x:c>
      <x:c r="M22" s="20" t="str">
        <x:v>District carried from original workbook</x:v>
      </x:c>
      <x:c r="N22" s="20" t="str"/>
      <x:c r="O22" s="20" t="str">
        <x:v>Existing</x:v>
      </x:c>
      <x:c r="P22" s="20" t="str">
        <x:v>No online correction applied because a single district was already provided.</x:v>
      </x:c>
    </x:row>
    <x:row r="23">
      <x:c r="A23" s="14" t="n">
        <x:v>23</x:v>
      </x:c>
      <x:c r="B23" s="14" t="str">
        <x:v>Coal</x:v>
      </x:c>
      <x:c r="C23" s="14" t="str">
        <x:v>operational</x:v>
      </x:c>
      <x:c r="D23" s="20" t="str">
        <x:v>Neyveli (New) TPP /Neyveli Extension</x:v>
      </x:c>
      <x:c r="E23" s="14" t="str">
        <x:v>Tamil Nadu</x:v>
      </x:c>
      <x:c r="F23" s="14" t="str">
        <x:v>Cuddalore</x:v>
      </x:c>
      <x:c r="G23" s="14" t="str">
        <x:v>Cuddalore</x:v>
      </x:c>
      <x:c r="H23" s="14" t="str">
        <x:v>2021-02-01</x:v>
      </x:c>
      <x:c r="I23" s="15" t="n">
        <x:v>500</x:v>
      </x:c>
      <x:c r="J23" s="16" t="n">
        <x:v>1</x:v>
      </x:c>
      <x:c r="K23" s="15" t="n">
        <x:f>I23*J23</x:f>
        <x:v>500</x:v>
      </x:c>
      <x:c r="L23" s="20" t="str">
        <x:v>NLC India Limited (formerly Neyveli Lignite Corp. Ltd.)</x:v>
      </x:c>
      <x:c r="M23" s="20" t="str">
        <x:v>District carried from original workbook</x:v>
      </x:c>
      <x:c r="N23" s="20" t="str"/>
      <x:c r="O23" s="20" t="str">
        <x:v>Existing</x:v>
      </x:c>
      <x:c r="P23" s="20" t="str">
        <x:v>No online correction applied because a single district was already provided.</x:v>
      </x:c>
    </x:row>
    <x:row r="24">
      <x:c r="A24" s="14" t="n">
        <x:v>24</x:v>
      </x:c>
      <x:c r="B24" s="14" t="str">
        <x:v>Coal</x:v>
      </x:c>
      <x:c r="C24" s="14" t="str">
        <x:v>operational</x:v>
      </x:c>
      <x:c r="D24" s="20" t="str">
        <x:v>Neyveli TPS (Z)</x:v>
      </x:c>
      <x:c r="E24" s="14" t="str">
        <x:v>Tamil Nadu</x:v>
      </x:c>
      <x:c r="F24" s="14" t="str">
        <x:v>Cuddalore</x:v>
      </x:c>
      <x:c r="G24" s="14" t="str">
        <x:v>Cuddalore</x:v>
      </x:c>
      <x:c r="H24" s="14" t="str">
        <x:v>2002-10-01</x:v>
      </x:c>
      <x:c r="I24" s="15" t="n">
        <x:v>250</x:v>
      </x:c>
      <x:c r="J24" s="16" t="n">
        <x:v>1</x:v>
      </x:c>
      <x:c r="K24" s="15" t="n">
        <x:f>I24*J24</x:f>
        <x:v>250</x:v>
      </x:c>
      <x:c r="L24" s="20" t="str">
        <x:v>ST-CMS Electric Company Pvt. Ltd.</x:v>
      </x:c>
      <x:c r="M24" s="20" t="str">
        <x:v>District carried from original workbook</x:v>
      </x:c>
      <x:c r="N24" s="20" t="str"/>
      <x:c r="O24" s="20" t="str">
        <x:v>Existing</x:v>
      </x:c>
      <x:c r="P24" s="20" t="str">
        <x:v>No online correction applied because a single district was already provided.</x:v>
      </x:c>
    </x:row>
    <x:row r="25">
      <x:c r="A25" s="14" t="n">
        <x:v>25</x:v>
      </x:c>
      <x:c r="B25" s="14" t="str">
        <x:v>Coal</x:v>
      </x:c>
      <x:c r="C25" s="14" t="str">
        <x:v>retired</x:v>
      </x:c>
      <x:c r="D25" s="20" t="str">
        <x:v>Neyveli TPS I</x:v>
      </x:c>
      <x:c r="E25" s="14" t="str">
        <x:v>Tamil Nadu</x:v>
      </x:c>
      <x:c r="F25" s="14" t="str">
        <x:v>Cuddalore</x:v>
      </x:c>
      <x:c r="G25" s="14" t="str">
        <x:v>Cuddalore</x:v>
      </x:c>
      <x:c r="H25" s="14" t="str">
        <x:v>1962-05-01</x:v>
      </x:c>
      <x:c r="I25" s="15" t="n">
        <x:v>50</x:v>
      </x:c>
      <x:c r="J25" s="16" t="n">
        <x:v>1</x:v>
      </x:c>
      <x:c r="K25" s="15" t="n">
        <x:f>I25*J25</x:f>
        <x:v>50</x:v>
      </x:c>
      <x:c r="L25" s="20" t="str">
        <x:v>NLC India Limited (formerly Neyveli Lignite Corp. Ltd.)</x:v>
      </x:c>
      <x:c r="M25" s="20" t="str">
        <x:v>District carried from original workbook</x:v>
      </x:c>
      <x:c r="N25" s="20" t="str"/>
      <x:c r="O25" s="20" t="str">
        <x:v>Existing</x:v>
      </x:c>
      <x:c r="P25" s="20" t="str">
        <x:v>No online correction applied because a single district was already provided.</x:v>
      </x:c>
    </x:row>
    <x:row r="26">
      <x:c r="A26" s="14" t="n">
        <x:v>26</x:v>
      </x:c>
      <x:c r="B26" s="14" t="str">
        <x:v>Coal</x:v>
      </x:c>
      <x:c r="C26" s="14" t="str">
        <x:v>retired</x:v>
      </x:c>
      <x:c r="D26" s="20" t="str">
        <x:v>Neyveli TPS I</x:v>
      </x:c>
      <x:c r="E26" s="14" t="str">
        <x:v>Tamil Nadu</x:v>
      </x:c>
      <x:c r="F26" s="14" t="str">
        <x:v>Cuddalore</x:v>
      </x:c>
      <x:c r="G26" s="14" t="str">
        <x:v>Cuddalore</x:v>
      </x:c>
      <x:c r="H26" s="14" t="str">
        <x:v>1963-01-01</x:v>
      </x:c>
      <x:c r="I26" s="15" t="n">
        <x:v>50</x:v>
      </x:c>
      <x:c r="J26" s="16" t="n">
        <x:v>1</x:v>
      </x:c>
      <x:c r="K26" s="15" t="n">
        <x:f>I26*J26</x:f>
        <x:v>50</x:v>
      </x:c>
      <x:c r="L26" s="20" t="str">
        <x:v>NLC India Limited (formerly Neyveli Lignite Corp. Ltd.)</x:v>
      </x:c>
      <x:c r="M26" s="20" t="str">
        <x:v>District carried from original workbook</x:v>
      </x:c>
      <x:c r="N26" s="20" t="str"/>
      <x:c r="O26" s="20" t="str">
        <x:v>Existing</x:v>
      </x:c>
      <x:c r="P26" s="20" t="str">
        <x:v>No online correction applied because a single district was already provided.</x:v>
      </x:c>
    </x:row>
    <x:row r="27">
      <x:c r="A27" s="14" t="n">
        <x:v>27</x:v>
      </x:c>
      <x:c r="B27" s="14" t="str">
        <x:v>Coal</x:v>
      </x:c>
      <x:c r="C27" s="14" t="str">
        <x:v>retired</x:v>
      </x:c>
      <x:c r="D27" s="20" t="str">
        <x:v>Neyveli TPS I</x:v>
      </x:c>
      <x:c r="E27" s="14" t="str">
        <x:v>Tamil Nadu</x:v>
      </x:c>
      <x:c r="F27" s="14" t="str">
        <x:v>Cuddalore</x:v>
      </x:c>
      <x:c r="G27" s="14" t="str">
        <x:v>Cuddalore</x:v>
      </x:c>
      <x:c r="H27" s="14" t="str">
        <x:v>1963-06-01</x:v>
      </x:c>
      <x:c r="I27" s="15" t="n">
        <x:v>50</x:v>
      </x:c>
      <x:c r="J27" s="16" t="n">
        <x:v>1</x:v>
      </x:c>
      <x:c r="K27" s="15" t="n">
        <x:f>I27*J27</x:f>
        <x:v>50</x:v>
      </x:c>
      <x:c r="L27" s="20" t="str">
        <x:v>NLC India Limited (formerly Neyveli Lignite Corp. Ltd.)</x:v>
      </x:c>
      <x:c r="M27" s="20" t="str">
        <x:v>District carried from original workbook</x:v>
      </x:c>
      <x:c r="N27" s="20" t="str"/>
      <x:c r="O27" s="20" t="str">
        <x:v>Existing</x:v>
      </x:c>
      <x:c r="P27" s="20" t="str">
        <x:v>No online correction applied because a single district was already provided.</x:v>
      </x:c>
    </x:row>
    <x:row r="28">
      <x:c r="A28" s="14" t="n">
        <x:v>28</x:v>
      </x:c>
      <x:c r="B28" s="14" t="str">
        <x:v>Coal</x:v>
      </x:c>
      <x:c r="C28" s="14" t="str">
        <x:v>retired</x:v>
      </x:c>
      <x:c r="D28" s="20" t="str">
        <x:v>Neyveli TPS I</x:v>
      </x:c>
      <x:c r="E28" s="14" t="str">
        <x:v>Tamil Nadu</x:v>
      </x:c>
      <x:c r="F28" s="14" t="str">
        <x:v>Cuddalore</x:v>
      </x:c>
      <x:c r="G28" s="14" t="str">
        <x:v>Cuddalore</x:v>
      </x:c>
      <x:c r="H28" s="14" t="str">
        <x:v>1963-10-01</x:v>
      </x:c>
      <x:c r="I28" s="15" t="n">
        <x:v>50</x:v>
      </x:c>
      <x:c r="J28" s="16" t="n">
        <x:v>1</x:v>
      </x:c>
      <x:c r="K28" s="15" t="n">
        <x:f>I28*J28</x:f>
        <x:v>50</x:v>
      </x:c>
      <x:c r="L28" s="20" t="str">
        <x:v>NLC India Limited (formerly Neyveli Lignite Corp. Ltd.)</x:v>
      </x:c>
      <x:c r="M28" s="20" t="str">
        <x:v>District carried from original workbook</x:v>
      </x:c>
      <x:c r="N28" s="20" t="str"/>
      <x:c r="O28" s="20" t="str">
        <x:v>Existing</x:v>
      </x:c>
      <x:c r="P28" s="20" t="str">
        <x:v>No online correction applied because a single district was already provided.</x:v>
      </x:c>
    </x:row>
    <x:row r="29">
      <x:c r="A29" s="14" t="n">
        <x:v>29</x:v>
      </x:c>
      <x:c r="B29" s="14" t="str">
        <x:v>Coal</x:v>
      </x:c>
      <x:c r="C29" s="14" t="str">
        <x:v>retired</x:v>
      </x:c>
      <x:c r="D29" s="20" t="str">
        <x:v>Neyveli TPS I</x:v>
      </x:c>
      <x:c r="E29" s="14" t="str">
        <x:v>Tamil Nadu</x:v>
      </x:c>
      <x:c r="F29" s="14" t="str">
        <x:v>Cuddalore</x:v>
      </x:c>
      <x:c r="G29" s="14" t="str">
        <x:v>Cuddalore</x:v>
      </x:c>
      <x:c r="H29" s="14" t="str">
        <x:v>1964-04-01</x:v>
      </x:c>
      <x:c r="I29" s="15" t="n">
        <x:v>50</x:v>
      </x:c>
      <x:c r="J29" s="16" t="n">
        <x:v>1</x:v>
      </x:c>
      <x:c r="K29" s="15" t="n">
        <x:f>I29*J29</x:f>
        <x:v>50</x:v>
      </x:c>
      <x:c r="L29" s="20" t="str">
        <x:v>NLC India Limited (formerly Neyveli Lignite Corp. Ltd.)</x:v>
      </x:c>
      <x:c r="M29" s="20" t="str">
        <x:v>District carried from original workbook</x:v>
      </x:c>
      <x:c r="N29" s="20" t="str"/>
      <x:c r="O29" s="20" t="str">
        <x:v>Existing</x:v>
      </x:c>
      <x:c r="P29" s="20" t="str">
        <x:v>No online correction applied because a single district was already provided.</x:v>
      </x:c>
    </x:row>
    <x:row r="30">
      <x:c r="A30" s="14" t="n">
        <x:v>30</x:v>
      </x:c>
      <x:c r="B30" s="14" t="str">
        <x:v>Coal</x:v>
      </x:c>
      <x:c r="C30" s="14" t="str">
        <x:v>retired</x:v>
      </x:c>
      <x:c r="D30" s="20" t="str">
        <x:v>Neyveli TPS I</x:v>
      </x:c>
      <x:c r="E30" s="14" t="str">
        <x:v>Tamil Nadu</x:v>
      </x:c>
      <x:c r="F30" s="14" t="str">
        <x:v>Cuddalore</x:v>
      </x:c>
      <x:c r="G30" s="14" t="str">
        <x:v>Cuddalore</x:v>
      </x:c>
      <x:c r="H30" s="14" t="str">
        <x:v>1965-08-01</x:v>
      </x:c>
      <x:c r="I30" s="15" t="n">
        <x:v>50</x:v>
      </x:c>
      <x:c r="J30" s="16" t="n">
        <x:v>1</x:v>
      </x:c>
      <x:c r="K30" s="15" t="n">
        <x:f>I30*J30</x:f>
        <x:v>50</x:v>
      </x:c>
      <x:c r="L30" s="20" t="str">
        <x:v>NLC India Limited (formerly Neyveli Lignite Corp. Ltd.)</x:v>
      </x:c>
      <x:c r="M30" s="20" t="str">
        <x:v>District carried from original workbook</x:v>
      </x:c>
      <x:c r="N30" s="20" t="str"/>
      <x:c r="O30" s="20" t="str">
        <x:v>Existing</x:v>
      </x:c>
      <x:c r="P30" s="20" t="str">
        <x:v>No online correction applied because a single district was already provided.</x:v>
      </x:c>
    </x:row>
    <x:row r="31">
      <x:c r="A31" s="14" t="n">
        <x:v>31</x:v>
      </x:c>
      <x:c r="B31" s="14" t="str">
        <x:v>Coal</x:v>
      </x:c>
      <x:c r="C31" s="14" t="str">
        <x:v>retired</x:v>
      </x:c>
      <x:c r="D31" s="20" t="str">
        <x:v>Neyveli TPS I</x:v>
      </x:c>
      <x:c r="E31" s="14" t="str">
        <x:v>Tamil Nadu</x:v>
      </x:c>
      <x:c r="F31" s="14" t="str">
        <x:v>Cuddalore</x:v>
      </x:c>
      <x:c r="G31" s="14" t="str">
        <x:v>Cuddalore</x:v>
      </x:c>
      <x:c r="H31" s="14" t="str">
        <x:v>1967-03-01</x:v>
      </x:c>
      <x:c r="I31" s="15" t="n">
        <x:v>100</x:v>
      </x:c>
      <x:c r="J31" s="16" t="n">
        <x:v>1</x:v>
      </x:c>
      <x:c r="K31" s="15" t="n">
        <x:f>I31*J31</x:f>
        <x:v>100</x:v>
      </x:c>
      <x:c r="L31" s="20" t="str">
        <x:v>NLC India Limited (formerly Neyveli Lignite Corp. Ltd.)</x:v>
      </x:c>
      <x:c r="M31" s="20" t="str">
        <x:v>District carried from original workbook</x:v>
      </x:c>
      <x:c r="N31" s="20" t="str"/>
      <x:c r="O31" s="20" t="str">
        <x:v>Existing</x:v>
      </x:c>
      <x:c r="P31" s="20" t="str">
        <x:v>No online correction applied because a single district was already provided.</x:v>
      </x:c>
    </x:row>
    <x:row r="32">
      <x:c r="A32" s="14" t="n">
        <x:v>32</x:v>
      </x:c>
      <x:c r="B32" s="14" t="str">
        <x:v>Coal</x:v>
      </x:c>
      <x:c r="C32" s="14" t="str">
        <x:v>retired</x:v>
      </x:c>
      <x:c r="D32" s="20" t="str">
        <x:v>Neyveli TPS I</x:v>
      </x:c>
      <x:c r="E32" s="14" t="str">
        <x:v>Tamil Nadu</x:v>
      </x:c>
      <x:c r="F32" s="14" t="str">
        <x:v>Cuddalore</x:v>
      </x:c>
      <x:c r="G32" s="14" t="str">
        <x:v>Cuddalore</x:v>
      </x:c>
      <x:c r="H32" s="14" t="str">
        <x:v>1969-02-01</x:v>
      </x:c>
      <x:c r="I32" s="15" t="n">
        <x:v>100</x:v>
      </x:c>
      <x:c r="J32" s="16" t="n">
        <x:v>1</x:v>
      </x:c>
      <x:c r="K32" s="15" t="n">
        <x:f>I32*J32</x:f>
        <x:v>100</x:v>
      </x:c>
      <x:c r="L32" s="20" t="str">
        <x:v>NLC India Limited (formerly Neyveli Lignite Corp. Ltd.)</x:v>
      </x:c>
      <x:c r="M32" s="20" t="str">
        <x:v>District carried from original workbook</x:v>
      </x:c>
      <x:c r="N32" s="20" t="str"/>
      <x:c r="O32" s="20" t="str">
        <x:v>Existing</x:v>
      </x:c>
      <x:c r="P32" s="20" t="str">
        <x:v>No online correction applied because a single district was already provided.</x:v>
      </x:c>
    </x:row>
    <x:row r="33">
      <x:c r="A33" s="14" t="n">
        <x:v>33</x:v>
      </x:c>
      <x:c r="B33" s="14" t="str">
        <x:v>Coal</x:v>
      </x:c>
      <x:c r="C33" s="14" t="str">
        <x:v>retired</x:v>
      </x:c>
      <x:c r="D33" s="20" t="str">
        <x:v>Neyveli TPS I</x:v>
      </x:c>
      <x:c r="E33" s="14" t="str">
        <x:v>Tamil Nadu</x:v>
      </x:c>
      <x:c r="F33" s="14" t="str">
        <x:v>Cuddalore</x:v>
      </x:c>
      <x:c r="G33" s="14" t="str">
        <x:v>Cuddalore</x:v>
      </x:c>
      <x:c r="H33" s="14" t="str">
        <x:v>1970-02-01</x:v>
      </x:c>
      <x:c r="I33" s="15" t="n">
        <x:v>100</x:v>
      </x:c>
      <x:c r="J33" s="16" t="n">
        <x:v>1</x:v>
      </x:c>
      <x:c r="K33" s="15" t="n">
        <x:f>I33*J33</x:f>
        <x:v>100</x:v>
      </x:c>
      <x:c r="L33" s="20" t="str">
        <x:v>NLC India Limited (formerly Neyveli Lignite Corp. Ltd.)</x:v>
      </x:c>
      <x:c r="M33" s="20" t="str">
        <x:v>District carried from original workbook</x:v>
      </x:c>
      <x:c r="N33" s="20" t="str"/>
      <x:c r="O33" s="20" t="str">
        <x:v>Existing</x:v>
      </x:c>
      <x:c r="P33" s="20" t="str">
        <x:v>No online correction applied because a single district was already provided.</x:v>
      </x:c>
    </x:row>
    <x:row r="34">
      <x:c r="A34" s="14" t="n">
        <x:v>34</x:v>
      </x:c>
      <x:c r="B34" s="14" t="str">
        <x:v>Coal</x:v>
      </x:c>
      <x:c r="C34" s="14" t="str">
        <x:v>operational</x:v>
      </x:c>
      <x:c r="D34" s="20" t="str">
        <x:v>Neyveli TPS II</x:v>
      </x:c>
      <x:c r="E34" s="14" t="str">
        <x:v>Tamil Nadu</x:v>
      </x:c>
      <x:c r="F34" s="14" t="str">
        <x:v>Cuddalore</x:v>
      </x:c>
      <x:c r="G34" s="14" t="str">
        <x:v>Cuddalore</x:v>
      </x:c>
      <x:c r="H34" s="14" t="str">
        <x:v>1988-01-01</x:v>
      </x:c>
      <x:c r="I34" s="15" t="n">
        <x:v>210</x:v>
      </x:c>
      <x:c r="J34" s="16" t="n">
        <x:v>1</x:v>
      </x:c>
      <x:c r="K34" s="15" t="n">
        <x:f>I34*J34</x:f>
        <x:v>210</x:v>
      </x:c>
      <x:c r="L34" s="20" t="str">
        <x:v>NLC India Limited (formerly Neyveli Lignite Corp. Ltd.)</x:v>
      </x:c>
      <x:c r="M34" s="20" t="str">
        <x:v>District carried from original workbook</x:v>
      </x:c>
      <x:c r="N34" s="20" t="str"/>
      <x:c r="O34" s="20" t="str">
        <x:v>Existing</x:v>
      </x:c>
      <x:c r="P34" s="20" t="str">
        <x:v>No online correction applied because a single district was already provided.</x:v>
      </x:c>
    </x:row>
    <x:row r="35">
      <x:c r="A35" s="14" t="n">
        <x:v>35</x:v>
      </x:c>
      <x:c r="B35" s="14" t="str">
        <x:v>Coal</x:v>
      </x:c>
      <x:c r="C35" s="14" t="str">
        <x:v>operational</x:v>
      </x:c>
      <x:c r="D35" s="20" t="str">
        <x:v>Neyveli TPS II</x:v>
      </x:c>
      <x:c r="E35" s="14" t="str">
        <x:v>Tamil Nadu</x:v>
      </x:c>
      <x:c r="F35" s="14" t="str">
        <x:v>Cuddalore</x:v>
      </x:c>
      <x:c r="G35" s="14" t="str">
        <x:v>Cuddalore</x:v>
      </x:c>
      <x:c r="H35" s="14" t="str">
        <x:v>1987-02-01</x:v>
      </x:c>
      <x:c r="I35" s="15" t="n">
        <x:v>210</x:v>
      </x:c>
      <x:c r="J35" s="16" t="n">
        <x:v>1</x:v>
      </x:c>
      <x:c r="K35" s="15" t="n">
        <x:f>I35*J35</x:f>
        <x:v>210</x:v>
      </x:c>
      <x:c r="L35" s="20" t="str">
        <x:v>NLC India Limited (formerly Neyveli Lignite Corp. Ltd.)</x:v>
      </x:c>
      <x:c r="M35" s="20" t="str">
        <x:v>District carried from original workbook</x:v>
      </x:c>
      <x:c r="N35" s="20" t="str"/>
      <x:c r="O35" s="20" t="str">
        <x:v>Existing</x:v>
      </x:c>
      <x:c r="P35" s="20" t="str">
        <x:v>No online correction applied because a single district was already provided.</x:v>
      </x:c>
    </x:row>
    <x:row r="36">
      <x:c r="A36" s="14" t="n">
        <x:v>36</x:v>
      </x:c>
      <x:c r="B36" s="14" t="str">
        <x:v>Coal</x:v>
      </x:c>
      <x:c r="C36" s="14" t="str">
        <x:v>operational</x:v>
      </x:c>
      <x:c r="D36" s="20" t="str">
        <x:v>Neyveli TPS II</x:v>
      </x:c>
      <x:c r="E36" s="14" t="str">
        <x:v>Tamil Nadu</x:v>
      </x:c>
      <x:c r="F36" s="14" t="str">
        <x:v>Cuddalore</x:v>
      </x:c>
      <x:c r="G36" s="14" t="str">
        <x:v>Cuddalore</x:v>
      </x:c>
      <x:c r="H36" s="14" t="str">
        <x:v>1986-03-01</x:v>
      </x:c>
      <x:c r="I36" s="15" t="n">
        <x:v>210</x:v>
      </x:c>
      <x:c r="J36" s="16" t="n">
        <x:v>1</x:v>
      </x:c>
      <x:c r="K36" s="15" t="n">
        <x:f>I36*J36</x:f>
        <x:v>210</x:v>
      </x:c>
      <x:c r="L36" s="20" t="str">
        <x:v>NLC India Limited (formerly Neyveli Lignite Corp. Ltd.)</x:v>
      </x:c>
      <x:c r="M36" s="20" t="str">
        <x:v>District carried from original workbook</x:v>
      </x:c>
      <x:c r="N36" s="20" t="str"/>
      <x:c r="O36" s="20" t="str">
        <x:v>Existing</x:v>
      </x:c>
      <x:c r="P36" s="20" t="str">
        <x:v>No online correction applied because a single district was already provided.</x:v>
      </x:c>
    </x:row>
    <x:row r="37">
      <x:c r="A37" s="14" t="n">
        <x:v>37</x:v>
      </x:c>
      <x:c r="B37" s="14" t="str">
        <x:v>Coal</x:v>
      </x:c>
      <x:c r="C37" s="14" t="str">
        <x:v>operational</x:v>
      </x:c>
      <x:c r="D37" s="20" t="str">
        <x:v>Neyveli TPS II</x:v>
      </x:c>
      <x:c r="E37" s="14" t="str">
        <x:v>Tamil Nadu</x:v>
      </x:c>
      <x:c r="F37" s="14" t="str">
        <x:v>Cuddalore</x:v>
      </x:c>
      <x:c r="G37" s="14" t="str">
        <x:v>Cuddalore</x:v>
      </x:c>
      <x:c r="H37" s="14" t="str">
        <x:v>1991-03-01</x:v>
      </x:c>
      <x:c r="I37" s="15" t="n">
        <x:v>210</x:v>
      </x:c>
      <x:c r="J37" s="16" t="n">
        <x:v>1</x:v>
      </x:c>
      <x:c r="K37" s="15" t="n">
        <x:f>I37*J37</x:f>
        <x:v>210</x:v>
      </x:c>
      <x:c r="L37" s="20" t="str">
        <x:v>NLC India Limited (formerly Neyveli Lignite Corp. Ltd.)</x:v>
      </x:c>
      <x:c r="M37" s="20" t="str">
        <x:v>District carried from original workbook</x:v>
      </x:c>
      <x:c r="N37" s="20" t="str"/>
      <x:c r="O37" s="20" t="str">
        <x:v>Existing</x:v>
      </x:c>
      <x:c r="P37" s="20" t="str">
        <x:v>No online correction applied because a single district was already provided.</x:v>
      </x:c>
    </x:row>
    <x:row r="38">
      <x:c r="A38" s="14" t="n">
        <x:v>38</x:v>
      </x:c>
      <x:c r="B38" s="14" t="str">
        <x:v>Coal</x:v>
      </x:c>
      <x:c r="C38" s="14" t="str">
        <x:v>operational</x:v>
      </x:c>
      <x:c r="D38" s="20" t="str">
        <x:v>Neyveli TPS II</x:v>
      </x:c>
      <x:c r="E38" s="14" t="str">
        <x:v>Tamil Nadu</x:v>
      </x:c>
      <x:c r="F38" s="14" t="str">
        <x:v>Cuddalore</x:v>
      </x:c>
      <x:c r="G38" s="14" t="str">
        <x:v>Cuddalore</x:v>
      </x:c>
      <x:c r="H38" s="14" t="str">
        <x:v>1991-12-01</x:v>
      </x:c>
      <x:c r="I38" s="15" t="n">
        <x:v>210</x:v>
      </x:c>
      <x:c r="J38" s="16" t="n">
        <x:v>1</x:v>
      </x:c>
      <x:c r="K38" s="15" t="n">
        <x:f>I38*J38</x:f>
        <x:v>210</x:v>
      </x:c>
      <x:c r="L38" s="20" t="str">
        <x:v>NLC India Limited (formerly Neyveli Lignite Corp. Ltd.)</x:v>
      </x:c>
      <x:c r="M38" s="20" t="str">
        <x:v>District carried from original workbook</x:v>
      </x:c>
      <x:c r="N38" s="20" t="str"/>
      <x:c r="O38" s="20" t="str">
        <x:v>Existing</x:v>
      </x:c>
      <x:c r="P38" s="20" t="str">
        <x:v>No online correction applied because a single district was already provided.</x:v>
      </x:c>
    </x:row>
    <x:row r="39">
      <x:c r="A39" s="14" t="n">
        <x:v>39</x:v>
      </x:c>
      <x:c r="B39" s="14" t="str">
        <x:v>Coal</x:v>
      </x:c>
      <x:c r="C39" s="14" t="str">
        <x:v>operational</x:v>
      </x:c>
      <x:c r="D39" s="20" t="str">
        <x:v>Neyveli TPS II</x:v>
      </x:c>
      <x:c r="E39" s="14" t="str">
        <x:v>Tamil Nadu</x:v>
      </x:c>
      <x:c r="F39" s="14" t="str">
        <x:v>Cuddalore</x:v>
      </x:c>
      <x:c r="G39" s="14" t="str">
        <x:v>Cuddalore</x:v>
      </x:c>
      <x:c r="H39" s="14" t="str">
        <x:v>1992-10-01</x:v>
      </x:c>
      <x:c r="I39" s="15" t="n">
        <x:v>210</x:v>
      </x:c>
      <x:c r="J39" s="16" t="n">
        <x:v>1</x:v>
      </x:c>
      <x:c r="K39" s="15" t="n">
        <x:f>I39*J39</x:f>
        <x:v>210</x:v>
      </x:c>
      <x:c r="L39" s="20" t="str">
        <x:v>NLC India Limited (formerly Neyveli Lignite Corp. Ltd.)</x:v>
      </x:c>
      <x:c r="M39" s="20" t="str">
        <x:v>District carried from original workbook</x:v>
      </x:c>
      <x:c r="N39" s="20" t="str"/>
      <x:c r="O39" s="20" t="str">
        <x:v>Existing</x:v>
      </x:c>
      <x:c r="P39" s="20" t="str">
        <x:v>No online correction applied because a single district was already provided.</x:v>
      </x:c>
    </x:row>
    <x:row r="40">
      <x:c r="A40" s="14" t="n">
        <x:v>40</x:v>
      </x:c>
      <x:c r="B40" s="14" t="str">
        <x:v>Coal</x:v>
      </x:c>
      <x:c r="C40" s="14" t="str">
        <x:v>operational</x:v>
      </x:c>
      <x:c r="D40" s="20" t="str">
        <x:v>Neyveli TPS II</x:v>
      </x:c>
      <x:c r="E40" s="14" t="str">
        <x:v>Tamil Nadu</x:v>
      </x:c>
      <x:c r="F40" s="14" t="str">
        <x:v>Cuddalore</x:v>
      </x:c>
      <x:c r="G40" s="14" t="str">
        <x:v>Cuddalore</x:v>
      </x:c>
      <x:c r="H40" s="14" t="str">
        <x:v>1993-06-01</x:v>
      </x:c>
      <x:c r="I40" s="15" t="n">
        <x:v>210</x:v>
      </x:c>
      <x:c r="J40" s="16" t="n">
        <x:v>1</x:v>
      </x:c>
      <x:c r="K40" s="15" t="n">
        <x:f>I40*J40</x:f>
        <x:v>210</x:v>
      </x:c>
      <x:c r="L40" s="20" t="str">
        <x:v>NLC India Limited (formerly Neyveli Lignite Corp. Ltd.)</x:v>
      </x:c>
      <x:c r="M40" s="20" t="str">
        <x:v>District carried from original workbook</x:v>
      </x:c>
      <x:c r="N40" s="20" t="str"/>
      <x:c r="O40" s="20" t="str">
        <x:v>Existing</x:v>
      </x:c>
      <x:c r="P40" s="20" t="str">
        <x:v>No online correction applied because a single district was already provided.</x:v>
      </x:c>
    </x:row>
    <x:row r="41">
      <x:c r="A41" s="14" t="n">
        <x:v>41</x:v>
      </x:c>
      <x:c r="B41" s="14" t="str">
        <x:v>Coal</x:v>
      </x:c>
      <x:c r="C41" s="14" t="str">
        <x:v>operational</x:v>
      </x:c>
      <x:c r="D41" s="20" t="str">
        <x:v>North Chennai TPS</x:v>
      </x:c>
      <x:c r="E41" s="14" t="str">
        <x:v>Tamil Nadu</x:v>
      </x:c>
      <x:c r="F41" s="14" t="str">
        <x:v>Thiruvallur</x:v>
      </x:c>
      <x:c r="G41" s="14" t="str">
        <x:v>Tiruvallur</x:v>
      </x:c>
      <x:c r="H41" s="14" t="str">
        <x:v>1994-10-01</x:v>
      </x:c>
      <x:c r="I41" s="15" t="n">
        <x:v>210</x:v>
      </x:c>
      <x:c r="J41" s="16" t="n">
        <x:v>1</x:v>
      </x:c>
      <x:c r="K41" s="15" t="n">
        <x:f>I41*J41</x:f>
        <x:v>210</x:v>
      </x:c>
      <x:c r="L41" s="20" t="str">
        <x:v>Tamil Nadu Generation &amp; Distribution Corp. Ltd. (TANGEDCO)</x:v>
      </x:c>
      <x:c r="M41" s="20" t="str">
        <x:v>District carried from original workbook</x:v>
      </x:c>
      <x:c r="N41" s="20" t="str"/>
      <x:c r="O41" s="20" t="str">
        <x:v>Existing</x:v>
      </x:c>
      <x:c r="P41" s="20" t="str">
        <x:v>No online correction applied because a single district was already provided.</x:v>
      </x:c>
    </x:row>
    <x:row r="42">
      <x:c r="A42" s="14" t="n">
        <x:v>42</x:v>
      </x:c>
      <x:c r="B42" s="14" t="str">
        <x:v>Coal</x:v>
      </x:c>
      <x:c r="C42" s="14" t="str">
        <x:v>operational</x:v>
      </x:c>
      <x:c r="D42" s="20" t="str">
        <x:v>North Chennai TPS</x:v>
      </x:c>
      <x:c r="E42" s="14" t="str">
        <x:v>Tamil Nadu</x:v>
      </x:c>
      <x:c r="F42" s="14" t="str">
        <x:v>Thiruvallur</x:v>
      </x:c>
      <x:c r="G42" s="14" t="str">
        <x:v>Tiruvallur</x:v>
      </x:c>
      <x:c r="H42" s="14" t="str">
        <x:v>1995-03-01</x:v>
      </x:c>
      <x:c r="I42" s="15" t="n">
        <x:v>210</x:v>
      </x:c>
      <x:c r="J42" s="16" t="n">
        <x:v>1</x:v>
      </x:c>
      <x:c r="K42" s="15" t="n">
        <x:f>I42*J42</x:f>
        <x:v>210</x:v>
      </x:c>
      <x:c r="L42" s="20" t="str">
        <x:v>Tamil Nadu Generation &amp; Distribution Corp. Ltd. (TANGEDCO)</x:v>
      </x:c>
      <x:c r="M42" s="20" t="str">
        <x:v>District carried from original workbook</x:v>
      </x:c>
      <x:c r="N42" s="20" t="str"/>
      <x:c r="O42" s="20" t="str">
        <x:v>Existing</x:v>
      </x:c>
      <x:c r="P42" s="20" t="str">
        <x:v>No online correction applied because a single district was already provided.</x:v>
      </x:c>
    </x:row>
    <x:row r="43">
      <x:c r="A43" s="14" t="n">
        <x:v>43</x:v>
      </x:c>
      <x:c r="B43" s="14" t="str">
        <x:v>Coal</x:v>
      </x:c>
      <x:c r="C43" s="14" t="str">
        <x:v>operational</x:v>
      </x:c>
      <x:c r="D43" s="20" t="str">
        <x:v>North Chennai TPS</x:v>
      </x:c>
      <x:c r="E43" s="14" t="str">
        <x:v>Tamil Nadu</x:v>
      </x:c>
      <x:c r="F43" s="14" t="str">
        <x:v>Thiruvallur</x:v>
      </x:c>
      <x:c r="G43" s="14" t="str">
        <x:v>Tiruvallur</x:v>
      </x:c>
      <x:c r="H43" s="14" t="str">
        <x:v>1996-02-01</x:v>
      </x:c>
      <x:c r="I43" s="15" t="n">
        <x:v>210</x:v>
      </x:c>
      <x:c r="J43" s="16" t="n">
        <x:v>1</x:v>
      </x:c>
      <x:c r="K43" s="15" t="n">
        <x:f>I43*J43</x:f>
        <x:v>210</x:v>
      </x:c>
      <x:c r="L43" s="20" t="str">
        <x:v>Tamil Nadu Generation &amp; Distribution Corp. Ltd. (TANGEDCO)</x:v>
      </x:c>
      <x:c r="M43" s="20" t="str">
        <x:v>District carried from original workbook</x:v>
      </x:c>
      <x:c r="N43" s="20" t="str"/>
      <x:c r="O43" s="20" t="str">
        <x:v>Existing</x:v>
      </x:c>
      <x:c r="P43" s="20" t="str">
        <x:v>No online correction applied because a single district was already provided.</x:v>
      </x:c>
    </x:row>
    <x:row r="44">
      <x:c r="A44" s="14" t="n">
        <x:v>44</x:v>
      </x:c>
      <x:c r="B44" s="14" t="str">
        <x:v>Coal</x:v>
      </x:c>
      <x:c r="C44" s="14" t="str">
        <x:v>operational</x:v>
      </x:c>
      <x:c r="D44" s="20" t="str">
        <x:v>North Chennai TPS</x:v>
      </x:c>
      <x:c r="E44" s="14" t="str">
        <x:v>Tamil Nadu</x:v>
      </x:c>
      <x:c r="F44" s="14" t="str">
        <x:v>Thiruvallur</x:v>
      </x:c>
      <x:c r="G44" s="14" t="str">
        <x:v>Tiruvallur</x:v>
      </x:c>
      <x:c r="H44" s="14" t="str">
        <x:v>2013-09-13</x:v>
      </x:c>
      <x:c r="I44" s="15" t="n">
        <x:v>600</x:v>
      </x:c>
      <x:c r="J44" s="16" t="n">
        <x:v>1</x:v>
      </x:c>
      <x:c r="K44" s="15" t="n">
        <x:f>I44*J44</x:f>
        <x:v>600</x:v>
      </x:c>
      <x:c r="L44" s="20" t="str">
        <x:v>Tamil Nadu Generation &amp; Distribution Corp. Ltd. (TANGEDCO)</x:v>
      </x:c>
      <x:c r="M44" s="20" t="str">
        <x:v>District carried from original workbook</x:v>
      </x:c>
      <x:c r="N44" s="20" t="str"/>
      <x:c r="O44" s="20" t="str">
        <x:v>Existing</x:v>
      </x:c>
      <x:c r="P44" s="20" t="str">
        <x:v>No online correction applied because a single district was already provided.</x:v>
      </x:c>
    </x:row>
    <x:row r="45">
      <x:c r="A45" s="14" t="n">
        <x:v>45</x:v>
      </x:c>
      <x:c r="B45" s="14" t="str">
        <x:v>Coal</x:v>
      </x:c>
      <x:c r="C45" s="14" t="str">
        <x:v>operational</x:v>
      </x:c>
      <x:c r="D45" s="20" t="str">
        <x:v>North Chennai TPS</x:v>
      </x:c>
      <x:c r="E45" s="14" t="str">
        <x:v>Tamil Nadu</x:v>
      </x:c>
      <x:c r="F45" s="14" t="str">
        <x:v>Thiruvallur</x:v>
      </x:c>
      <x:c r="G45" s="14" t="str">
        <x:v>Tiruvallur</x:v>
      </x:c>
      <x:c r="H45" s="14" t="str">
        <x:v>2013-03-09</x:v>
      </x:c>
      <x:c r="I45" s="15" t="n">
        <x:v>600</x:v>
      </x:c>
      <x:c r="J45" s="16" t="n">
        <x:v>1</x:v>
      </x:c>
      <x:c r="K45" s="15" t="n">
        <x:f>I45*J45</x:f>
        <x:v>600</x:v>
      </x:c>
      <x:c r="L45" s="20" t="str">
        <x:v>Tamil Nadu Generation &amp; Distribution Corp. Ltd. (TANGEDCO)</x:v>
      </x:c>
      <x:c r="M45" s="20" t="str">
        <x:v>District carried from original workbook</x:v>
      </x:c>
      <x:c r="N45" s="20" t="str"/>
      <x:c r="O45" s="20" t="str">
        <x:v>Existing</x:v>
      </x:c>
      <x:c r="P45" s="20" t="str">
        <x:v>No online correction applied because a single district was already provided.</x:v>
      </x:c>
    </x:row>
    <x:row r="46">
      <x:c r="A46" s="14" t="n">
        <x:v>46</x:v>
      </x:c>
      <x:c r="B46" s="14" t="str">
        <x:v>Coal</x:v>
      </x:c>
      <x:c r="C46" s="14" t="str">
        <x:v>operational</x:v>
      </x:c>
      <x:c r="D46" s="20" t="str">
        <x:v>North Chennai TPS</x:v>
      </x:c>
      <x:c r="E46" s="14" t="str">
        <x:v>Tamil Nadu</x:v>
      </x:c>
      <x:c r="F46" s="14" t="str">
        <x:v>Thiruvallur</x:v>
      </x:c>
      <x:c r="G46" s="14" t="str">
        <x:v>Tiruvallur</x:v>
      </x:c>
      <x:c r="H46" s="14" t="str">
        <x:v>2026-01-24</x:v>
      </x:c>
      <x:c r="I46" s="15" t="n">
        <x:v>800</x:v>
      </x:c>
      <x:c r="J46" s="16" t="n">
        <x:v>1</x:v>
      </x:c>
      <x:c r="K46" s="15" t="n">
        <x:f>I46*J46</x:f>
        <x:v>800</x:v>
      </x:c>
      <x:c r="L46" s="20" t="str">
        <x:v>Tamil Nadu Generation &amp; Distribution Corp. Ltd. (TANGEDCO)</x:v>
      </x:c>
      <x:c r="M46" s="20" t="str">
        <x:v>District carried from original workbook</x:v>
      </x:c>
      <x:c r="N46" s="20" t="str"/>
      <x:c r="O46" s="20" t="str">
        <x:v>Existing</x:v>
      </x:c>
      <x:c r="P46" s="20" t="str">
        <x:v>No online correction applied because a single district was already provided.</x:v>
      </x:c>
    </x:row>
    <x:row r="47">
      <x:c r="A47" s="14" t="n">
        <x:v>47</x:v>
      </x:c>
      <x:c r="B47" s="14" t="str">
        <x:v>Coal</x:v>
      </x:c>
      <x:c r="C47" s="14" t="str">
        <x:v>operational</x:v>
      </x:c>
      <x:c r="D47" s="20" t="str">
        <x:v>OPG Power Generation Private Ltd.</x:v>
      </x:c>
      <x:c r="E47" s="14" t="str">
        <x:v>Tamil Nadu</x:v>
      </x:c>
      <x:c r="F47" s="14" t="str">
        <x:v>Thiruvallur</x:v>
      </x:c>
      <x:c r="G47" s="14" t="str">
        <x:v>Tiruvallur</x:v>
      </x:c>
      <x:c r="H47" s="14" t="str">
        <x:v>2024-01-01</x:v>
      </x:c>
      <x:c r="I47" s="15" t="n">
        <x:v>77</x:v>
      </x:c>
      <x:c r="J47" s="16" t="n">
        <x:v>1</x:v>
      </x:c>
      <x:c r="K47" s="15" t="n">
        <x:f>I47*J47</x:f>
        <x:v>77</x:v>
      </x:c>
      <x:c r="L47" s="20" t="str">
        <x:v>OPG Power Ventures Plc</x:v>
      </x:c>
      <x:c r="M47" s="20" t="str">
        <x:v>District carried from original workbook</x:v>
      </x:c>
      <x:c r="N47" s="20" t="str"/>
      <x:c r="O47" s="20" t="str">
        <x:v>Existing</x:v>
      </x:c>
      <x:c r="P47" s="20" t="str">
        <x:v>No online correction applied because a single district was already provided.</x:v>
      </x:c>
    </x:row>
    <x:row r="48">
      <x:c r="A48" s="14" t="n">
        <x:v>48</x:v>
      </x:c>
      <x:c r="B48" s="14" t="str">
        <x:v>Coal</x:v>
      </x:c>
      <x:c r="C48" s="14" t="str">
        <x:v>operational</x:v>
      </x:c>
      <x:c r="D48" s="20" t="str">
        <x:v>OPG Power Generation Private Ltd.</x:v>
      </x:c>
      <x:c r="E48" s="14" t="str">
        <x:v>Tamil Nadu</x:v>
      </x:c>
      <x:c r="F48" s="14" t="str">
        <x:v>Thiruvallur</x:v>
      </x:c>
      <x:c r="G48" s="14" t="str">
        <x:v>Tiruvallur</x:v>
      </x:c>
      <x:c r="H48" s="14" t="str">
        <x:v>2024-01-01</x:v>
      </x:c>
      <x:c r="I48" s="15" t="n">
        <x:v>77</x:v>
      </x:c>
      <x:c r="J48" s="16" t="n">
        <x:v>1</x:v>
      </x:c>
      <x:c r="K48" s="15" t="n">
        <x:f>I48*J48</x:f>
        <x:v>77</x:v>
      </x:c>
      <x:c r="L48" s="20" t="str">
        <x:v>OPG Power Ventures Plc</x:v>
      </x:c>
      <x:c r="M48" s="20" t="str">
        <x:v>District carried from original workbook</x:v>
      </x:c>
      <x:c r="N48" s="20" t="str"/>
      <x:c r="O48" s="20" t="str">
        <x:v>Existing</x:v>
      </x:c>
      <x:c r="P48" s="20" t="str">
        <x:v>No online correction applied because a single district was already provided.</x:v>
      </x:c>
    </x:row>
    <x:row r="49">
      <x:c r="A49" s="14" t="n">
        <x:v>49</x:v>
      </x:c>
      <x:c r="B49" s="14" t="str">
        <x:v>Coal</x:v>
      </x:c>
      <x:c r="C49" s="14" t="str">
        <x:v>operational</x:v>
      </x:c>
      <x:c r="D49" s="20" t="str">
        <x:v>OPG Power Generation Private Ltd.</x:v>
      </x:c>
      <x:c r="E49" s="14" t="str">
        <x:v>Tamil Nadu</x:v>
      </x:c>
      <x:c r="F49" s="14" t="str">
        <x:v>Thiruvallur</x:v>
      </x:c>
      <x:c r="G49" s="14" t="str">
        <x:v>Tiruvallur</x:v>
      </x:c>
      <x:c r="H49" s="14" t="str">
        <x:v>2024-01-01</x:v>
      </x:c>
      <x:c r="I49" s="15" t="n">
        <x:v>80</x:v>
      </x:c>
      <x:c r="J49" s="16" t="n">
        <x:v>1</x:v>
      </x:c>
      <x:c r="K49" s="15" t="n">
        <x:f>I49*J49</x:f>
        <x:v>80</x:v>
      </x:c>
      <x:c r="L49" s="20" t="str">
        <x:v>OPG Power Ventures Plc</x:v>
      </x:c>
      <x:c r="M49" s="20" t="str">
        <x:v>District carried from original workbook</x:v>
      </x:c>
      <x:c r="N49" s="20" t="str"/>
      <x:c r="O49" s="20" t="str">
        <x:v>Existing</x:v>
      </x:c>
      <x:c r="P49" s="20" t="str">
        <x:v>No online correction applied because a single district was already provided.</x:v>
      </x:c>
    </x:row>
    <x:row r="50">
      <x:c r="A50" s="14" t="n">
        <x:v>50</x:v>
      </x:c>
      <x:c r="B50" s="14" t="str">
        <x:v>Coal</x:v>
      </x:c>
      <x:c r="C50" s="14" t="str">
        <x:v>operational</x:v>
      </x:c>
      <x:c r="D50" s="20" t="str">
        <x:v>OPG Power Generation Private Ltd.</x:v>
      </x:c>
      <x:c r="E50" s="14" t="str">
        <x:v>Tamil Nadu</x:v>
      </x:c>
      <x:c r="F50" s="14" t="str">
        <x:v>Thiruvallur</x:v>
      </x:c>
      <x:c r="G50" s="14" t="str">
        <x:v>Tiruvallur</x:v>
      </x:c>
      <x:c r="H50" s="14" t="str">
        <x:v>2024-01-01</x:v>
      </x:c>
      <x:c r="I50" s="15" t="n">
        <x:v>180</x:v>
      </x:c>
      <x:c r="J50" s="16" t="n">
        <x:v>1</x:v>
      </x:c>
      <x:c r="K50" s="15" t="n">
        <x:f>I50*J50</x:f>
        <x:v>180</x:v>
      </x:c>
      <x:c r="L50" s="20" t="str">
        <x:v>OPG Power Ventures Plc</x:v>
      </x:c>
      <x:c r="M50" s="20" t="str">
        <x:v>District carried from original workbook</x:v>
      </x:c>
      <x:c r="N50" s="20" t="str"/>
      <x:c r="O50" s="20" t="str">
        <x:v>Existing</x:v>
      </x:c>
      <x:c r="P50" s="20" t="str">
        <x:v>No online correction applied because a single district was already provided.</x:v>
      </x:c>
    </x:row>
    <x:row r="51">
      <x:c r="A51" s="14" t="n">
        <x:v>51</x:v>
      </x:c>
      <x:c r="B51" s="14" t="str">
        <x:v>Coal</x:v>
      </x:c>
      <x:c r="C51" s="14" t="str">
        <x:v>operational</x:v>
      </x:c>
      <x:c r="D51" s="20" t="str">
        <x:v>TCP Limited</x:v>
      </x:c>
      <x:c r="E51" s="14" t="str">
        <x:v>Tamil Nadu</x:v>
      </x:c>
      <x:c r="F51" s="14" t="str">
        <x:v>Thiruvallur</x:v>
      </x:c>
      <x:c r="G51" s="14" t="str">
        <x:v>Tiruvallur</x:v>
      </x:c>
      <x:c r="H51" s="14" t="str">
        <x:v>2024-12-23</x:v>
      </x:c>
      <x:c r="I51" s="15" t="n">
        <x:v>63.5</x:v>
      </x:c>
      <x:c r="J51" s="16" t="n">
        <x:v>1</x:v>
      </x:c>
      <x:c r="K51" s="15" t="n">
        <x:f>I51*J51</x:f>
        <x:v>63.5</x:v>
      </x:c>
      <x:c r="L51" s="20" t="str">
        <x:v>TCP Limited</x:v>
      </x:c>
      <x:c r="M51" s="20" t="str">
        <x:v>District carried from original workbook</x:v>
      </x:c>
      <x:c r="N51" s="20" t="str"/>
      <x:c r="O51" s="20" t="str">
        <x:v>Existing</x:v>
      </x:c>
      <x:c r="P51" s="20" t="str">
        <x:v>No online correction applied because a single district was already provided.</x:v>
      </x:c>
    </x:row>
    <x:row r="52">
      <x:c r="A52" s="14" t="n">
        <x:v>52</x:v>
      </x:c>
      <x:c r="B52" s="14" t="str">
        <x:v>Coal</x:v>
      </x:c>
      <x:c r="C52" s="14" t="str">
        <x:v>operational</x:v>
      </x:c>
      <x:c r="D52" s="20" t="str">
        <x:v>Tulsyan NEC Limited</x:v>
      </x:c>
      <x:c r="E52" s="14" t="str">
        <x:v>Tamil Nadu</x:v>
      </x:c>
      <x:c r="F52" s="14" t="str">
        <x:v>Thiruvallur</x:v>
      </x:c>
      <x:c r="G52" s="14" t="str">
        <x:v>Tiruvallur</x:v>
      </x:c>
      <x:c r="H52" s="14" t="str">
        <x:v>2026-03-01</x:v>
      </x:c>
      <x:c r="I52" s="15" t="n">
        <x:v>35</x:v>
      </x:c>
      <x:c r="J52" s="16" t="n">
        <x:v>1</x:v>
      </x:c>
      <x:c r="K52" s="15" t="n">
        <x:f>I52*J52</x:f>
        <x:v>35</x:v>
      </x:c>
      <x:c r="L52" s="20" t="str">
        <x:v>Tulsyan NEC Limited</x:v>
      </x:c>
      <x:c r="M52" s="20" t="str">
        <x:v>District carried from original workbook</x:v>
      </x:c>
      <x:c r="N52" s="20" t="str"/>
      <x:c r="O52" s="20" t="str">
        <x:v>Existing</x:v>
      </x:c>
      <x:c r="P52" s="20" t="str">
        <x:v>No online correction applied because a single district was already provided.</x:v>
      </x:c>
    </x:row>
    <x:row r="53">
      <x:c r="A53" s="14" t="n">
        <x:v>53</x:v>
      </x:c>
      <x:c r="B53" s="14" t="str">
        <x:v>Coal</x:v>
      </x:c>
      <x:c r="C53" s="14" t="str">
        <x:v>operational</x:v>
      </x:c>
      <x:c r="D53" s="20" t="str">
        <x:v>Tulsyan NEC Limited</x:v>
      </x:c>
      <x:c r="E53" s="14" t="str">
        <x:v>Tamil Nadu</x:v>
      </x:c>
      <x:c r="F53" s="14" t="str">
        <x:v>Thiruvallur</x:v>
      </x:c>
      <x:c r="G53" s="14" t="str">
        <x:v>Tiruvallur</x:v>
      </x:c>
      <x:c r="H53" s="14" t="str">
        <x:v>2026-03-01</x:v>
      </x:c>
      <x:c r="I53" s="15" t="n">
        <x:v>35</x:v>
      </x:c>
      <x:c r="J53" s="16" t="n">
        <x:v>1</x:v>
      </x:c>
      <x:c r="K53" s="15" t="n">
        <x:f>I53*J53</x:f>
        <x:v>35</x:v>
      </x:c>
      <x:c r="L53" s="20" t="str">
        <x:v>Tulsyan NEC Limited</x:v>
      </x:c>
      <x:c r="M53" s="20" t="str">
        <x:v>District carried from original workbook</x:v>
      </x:c>
      <x:c r="N53" s="20" t="str"/>
      <x:c r="O53" s="20" t="str">
        <x:v>Existing</x:v>
      </x:c>
      <x:c r="P53" s="20" t="str">
        <x:v>No online correction applied because a single district was already provided.</x:v>
      </x:c>
    </x:row>
    <x:row r="54">
      <x:c r="A54" s="14" t="n">
        <x:v>54</x:v>
      </x:c>
      <x:c r="B54" s="14" t="str">
        <x:v>Coal</x:v>
      </x:c>
      <x:c r="C54" s="14" t="str">
        <x:v>operational</x:v>
      </x:c>
      <x:c r="D54" s="20" t="str">
        <x:v>Tuticorin (P) TPP</x:v>
      </x:c>
      <x:c r="E54" s="14" t="str">
        <x:v>Tamil Nadu</x:v>
      </x:c>
      <x:c r="F54" s="14" t="str">
        <x:v>Thoothukudi</x:v>
      </x:c>
      <x:c r="G54" s="14" t="str">
        <x:v>Thoothukudi</x:v>
      </x:c>
      <x:c r="H54" s="14" t="str">
        <x:v>2013-01-31</x:v>
      </x:c>
      <x:c r="I54" s="15" t="n">
        <x:v>150</x:v>
      </x:c>
      <x:c r="J54" s="16" t="n">
        <x:v>1</x:v>
      </x:c>
      <x:c r="K54" s="15" t="n">
        <x:f>I54*J54</x:f>
        <x:v>150</x:v>
      </x:c>
      <x:c r="L54" s="20" t="str">
        <x:v>Ind Barath Power Infra Limited (IBPIL)</x:v>
      </x:c>
      <x:c r="M54" s="20" t="str">
        <x:v>District carried from original workbook</x:v>
      </x:c>
      <x:c r="N54" s="20" t="str"/>
      <x:c r="O54" s="20" t="str">
        <x:v>Existing</x:v>
      </x:c>
      <x:c r="P54" s="20" t="str">
        <x:v>No online correction applied because a single district was already provided.</x:v>
      </x:c>
    </x:row>
    <x:row r="55">
      <x:c r="A55" s="14" t="n">
        <x:v>55</x:v>
      </x:c>
      <x:c r="B55" s="14" t="str">
        <x:v>Coal</x:v>
      </x:c>
      <x:c r="C55" s="14" t="str">
        <x:v>operational</x:v>
      </x:c>
      <x:c r="D55" s="20" t="str">
        <x:v>Tuticorin (P) TPP</x:v>
      </x:c>
      <x:c r="E55" s="14" t="str">
        <x:v>Tamil Nadu</x:v>
      </x:c>
      <x:c r="F55" s="14" t="str">
        <x:v>Thoothukudi</x:v>
      </x:c>
      <x:c r="G55" s="14" t="str">
        <x:v>Thoothukudi</x:v>
      </x:c>
      <x:c r="H55" s="14" t="str">
        <x:v>2013-12-30</x:v>
      </x:c>
      <x:c r="I55" s="15" t="n">
        <x:v>150</x:v>
      </x:c>
      <x:c r="J55" s="16" t="n">
        <x:v>1</x:v>
      </x:c>
      <x:c r="K55" s="15" t="n">
        <x:f>I55*J55</x:f>
        <x:v>150</x:v>
      </x:c>
      <x:c r="L55" s="20" t="str">
        <x:v>Ind Barath Power Infra Limited (IBPIL)</x:v>
      </x:c>
      <x:c r="M55" s="20" t="str">
        <x:v>District carried from original workbook</x:v>
      </x:c>
      <x:c r="N55" s="20" t="str"/>
      <x:c r="O55" s="20" t="str">
        <x:v>Existing</x:v>
      </x:c>
      <x:c r="P55" s="20" t="str">
        <x:v>No online correction applied because a single district was already provided.</x:v>
      </x:c>
    </x:row>
    <x:row r="56">
      <x:c r="A56" s="14" t="n">
        <x:v>56</x:v>
      </x:c>
      <x:c r="B56" s="14" t="str">
        <x:v>Coal</x:v>
      </x:c>
      <x:c r="C56" s="14" t="str">
        <x:v>pipeline</x:v>
      </x:c>
      <x:c r="D56" s="20" t="str">
        <x:v>Tuticorin (P) TPP</x:v>
      </x:c>
      <x:c r="E56" s="14" t="str">
        <x:v>Tamil Nadu</x:v>
      </x:c>
      <x:c r="F56" s="14" t="str">
        <x:v>Thoothukudi</x:v>
      </x:c>
      <x:c r="G56" s="14" t="str">
        <x:v>Thoothukudi</x:v>
      </x:c>
      <x:c r="H56" s="14" t="str">
        <x:v>Uncertain</x:v>
      </x:c>
      <x:c r="I56" s="15" t="n">
        <x:v>660</x:v>
      </x:c>
      <x:c r="J56" s="16" t="n">
        <x:v>1</x:v>
      </x:c>
      <x:c r="K56" s="15" t="n">
        <x:f>I56*J56</x:f>
        <x:v>660</x:v>
      </x:c>
      <x:c r="L56" s="20" t="str">
        <x:v>Ind Barath Power Infra Limited (IBPIL)</x:v>
      </x:c>
      <x:c r="M56" s="20" t="str">
        <x:v>District carried from original workbook</x:v>
      </x:c>
      <x:c r="N56" s="20" t="str"/>
      <x:c r="O56" s="20" t="str">
        <x:v>Existing</x:v>
      </x:c>
      <x:c r="P56" s="20" t="str">
        <x:v>No online correction applied because a single district was already provided.</x:v>
      </x:c>
    </x:row>
    <x:row r="57">
      <x:c r="A57" s="14" t="n">
        <x:v>57</x:v>
      </x:c>
      <x:c r="B57" s="14" t="str">
        <x:v>Coal</x:v>
      </x:c>
      <x:c r="C57" s="14" t="str">
        <x:v>operational</x:v>
      </x:c>
      <x:c r="D57" s="20" t="str">
        <x:v>Tuticorin Joint Venture</x:v>
      </x:c>
      <x:c r="E57" s="14" t="str">
        <x:v>Tamil Nadu</x:v>
      </x:c>
      <x:c r="F57" s="14" t="str">
        <x:v>Thoothukudi</x:v>
      </x:c>
      <x:c r="G57" s="14" t="str">
        <x:v>Thoothukudi</x:v>
      </x:c>
      <x:c r="H57" s="14" t="str">
        <x:v>2015-03-10</x:v>
      </x:c>
      <x:c r="I57" s="15" t="n">
        <x:v>500</x:v>
      </x:c>
      <x:c r="J57" s="16" t="n">
        <x:v>1</x:v>
      </x:c>
      <x:c r="K57" s="15" t="n">
        <x:f>I57*J57</x:f>
        <x:v>500</x:v>
      </x:c>
      <x:c r="L57" s="20" t="str">
        <x:v>NTPL (Joint Venture -NLC and TANGEDCO)</x:v>
      </x:c>
      <x:c r="M57" s="20" t="str">
        <x:v>District carried from original workbook</x:v>
      </x:c>
      <x:c r="N57" s="20" t="str"/>
      <x:c r="O57" s="20" t="str">
        <x:v>Existing</x:v>
      </x:c>
      <x:c r="P57" s="20" t="str">
        <x:v>No online correction applied because a single district was already provided.</x:v>
      </x:c>
    </x:row>
    <x:row r="58">
      <x:c r="A58" s="14" t="n">
        <x:v>58</x:v>
      </x:c>
      <x:c r="B58" s="14" t="str">
        <x:v>Coal</x:v>
      </x:c>
      <x:c r="C58" s="14" t="str">
        <x:v>operational</x:v>
      </x:c>
      <x:c r="D58" s="20" t="str">
        <x:v>Tuticorin Joint Venture</x:v>
      </x:c>
      <x:c r="E58" s="14" t="str">
        <x:v>Tamil Nadu</x:v>
      </x:c>
      <x:c r="F58" s="14" t="str">
        <x:v>Thoothukudi</x:v>
      </x:c>
      <x:c r="G58" s="14" t="str">
        <x:v>Thoothukudi</x:v>
      </x:c>
      <x:c r="H58" s="14" t="str">
        <x:v>2015-07-09</x:v>
      </x:c>
      <x:c r="I58" s="15" t="n">
        <x:v>500</x:v>
      </x:c>
      <x:c r="J58" s="16" t="n">
        <x:v>1</x:v>
      </x:c>
      <x:c r="K58" s="15" t="n">
        <x:f>I58*J58</x:f>
        <x:v>500</x:v>
      </x:c>
      <x:c r="L58" s="20" t="str">
        <x:v>NTPL (Joint Venture -NLC and TANGEDCO)</x:v>
      </x:c>
      <x:c r="M58" s="20" t="str">
        <x:v>District carried from original workbook</x:v>
      </x:c>
      <x:c r="N58" s="20" t="str"/>
      <x:c r="O58" s="20" t="str">
        <x:v>Existing</x:v>
      </x:c>
      <x:c r="P58" s="20" t="str">
        <x:v>No online correction applied because a single district was already provided.</x:v>
      </x:c>
    </x:row>
    <x:row r="59">
      <x:c r="A59" s="14" t="n">
        <x:v>59</x:v>
      </x:c>
      <x:c r="B59" s="14" t="str">
        <x:v>Coal</x:v>
      </x:c>
      <x:c r="C59" s="14" t="str">
        <x:v>operational</x:v>
      </x:c>
      <x:c r="D59" s="20" t="str">
        <x:v>Tuticorin TPS</x:v>
      </x:c>
      <x:c r="E59" s="14" t="str">
        <x:v>Tamil Nadu</x:v>
      </x:c>
      <x:c r="F59" s="14" t="str">
        <x:v>Thoothukudi</x:v>
      </x:c>
      <x:c r="G59" s="14" t="str">
        <x:v>Thoothukudi</x:v>
      </x:c>
      <x:c r="H59" s="14" t="str">
        <x:v>1979-07-01</x:v>
      </x:c>
      <x:c r="I59" s="15" t="n">
        <x:v>210</x:v>
      </x:c>
      <x:c r="J59" s="16" t="n">
        <x:v>1</x:v>
      </x:c>
      <x:c r="K59" s="15" t="n">
        <x:f>I59*J59</x:f>
        <x:v>210</x:v>
      </x:c>
      <x:c r="L59" s="20" t="str">
        <x:v>Tamil Nadu Generation &amp; Distribution Corp. Ltd. (TANGEDCO)</x:v>
      </x:c>
      <x:c r="M59" s="20" t="str">
        <x:v>District carried from original workbook</x:v>
      </x:c>
      <x:c r="N59" s="20" t="str"/>
      <x:c r="O59" s="20" t="str">
        <x:v>Existing</x:v>
      </x:c>
      <x:c r="P59" s="20" t="str">
        <x:v>No online correction applied because a single district was already provided.</x:v>
      </x:c>
    </x:row>
    <x:row r="60">
      <x:c r="A60" s="14" t="n">
        <x:v>60</x:v>
      </x:c>
      <x:c r="B60" s="14" t="str">
        <x:v>Coal</x:v>
      </x:c>
      <x:c r="C60" s="14" t="str">
        <x:v>operational</x:v>
      </x:c>
      <x:c r="D60" s="20" t="str">
        <x:v>Tuticorin TPS</x:v>
      </x:c>
      <x:c r="E60" s="14" t="str">
        <x:v>Tamil Nadu</x:v>
      </x:c>
      <x:c r="F60" s="14" t="str">
        <x:v>Thoothukudi</x:v>
      </x:c>
      <x:c r="G60" s="14" t="str">
        <x:v>Thoothukudi</x:v>
      </x:c>
      <x:c r="H60" s="14" t="str">
        <x:v>1980-12-01</x:v>
      </x:c>
      <x:c r="I60" s="15" t="n">
        <x:v>210</x:v>
      </x:c>
      <x:c r="J60" s="16" t="n">
        <x:v>1</x:v>
      </x:c>
      <x:c r="K60" s="15" t="n">
        <x:f>I60*J60</x:f>
        <x:v>210</x:v>
      </x:c>
      <x:c r="L60" s="20" t="str">
        <x:v>Tamil Nadu Generation &amp; Distribution Corp. Ltd. (TANGEDCO)</x:v>
      </x:c>
      <x:c r="M60" s="20" t="str">
        <x:v>District carried from original workbook</x:v>
      </x:c>
      <x:c r="N60" s="20" t="str"/>
      <x:c r="O60" s="20" t="str">
        <x:v>Existing</x:v>
      </x:c>
      <x:c r="P60" s="20" t="str">
        <x:v>No online correction applied because a single district was already provided.</x:v>
      </x:c>
    </x:row>
    <x:row r="61">
      <x:c r="A61" s="14" t="n">
        <x:v>61</x:v>
      </x:c>
      <x:c r="B61" s="14" t="str">
        <x:v>Coal</x:v>
      </x:c>
      <x:c r="C61" s="14" t="str">
        <x:v>operational</x:v>
      </x:c>
      <x:c r="D61" s="20" t="str">
        <x:v>Tuticorin TPS</x:v>
      </x:c>
      <x:c r="E61" s="14" t="str">
        <x:v>Tamil Nadu</x:v>
      </x:c>
      <x:c r="F61" s="14" t="str">
        <x:v>Thoothukudi</x:v>
      </x:c>
      <x:c r="G61" s="14" t="str">
        <x:v>Thoothukudi</x:v>
      </x:c>
      <x:c r="H61" s="14" t="str">
        <x:v>1982-04-01</x:v>
      </x:c>
      <x:c r="I61" s="15" t="n">
        <x:v>210</x:v>
      </x:c>
      <x:c r="J61" s="16" t="n">
        <x:v>1</x:v>
      </x:c>
      <x:c r="K61" s="15" t="n">
        <x:f>I61*J61</x:f>
        <x:v>210</x:v>
      </x:c>
      <x:c r="L61" s="20" t="str">
        <x:v>Tamil Nadu Generation &amp; Distribution Corp. Ltd. (TANGEDCO)</x:v>
      </x:c>
      <x:c r="M61" s="20" t="str">
        <x:v>District carried from original workbook</x:v>
      </x:c>
      <x:c r="N61" s="20" t="str"/>
      <x:c r="O61" s="20" t="str">
        <x:v>Existing</x:v>
      </x:c>
      <x:c r="P61" s="20" t="str">
        <x:v>No online correction applied because a single district was already provided.</x:v>
      </x:c>
    </x:row>
    <x:row r="62">
      <x:c r="A62" s="14" t="n">
        <x:v>62</x:v>
      </x:c>
      <x:c r="B62" s="14" t="str">
        <x:v>Coal</x:v>
      </x:c>
      <x:c r="C62" s="14" t="str">
        <x:v>operational</x:v>
      </x:c>
      <x:c r="D62" s="20" t="str">
        <x:v>Tuticorin TPS</x:v>
      </x:c>
      <x:c r="E62" s="14" t="str">
        <x:v>Tamil Nadu</x:v>
      </x:c>
      <x:c r="F62" s="14" t="str">
        <x:v>Thoothukudi</x:v>
      </x:c>
      <x:c r="G62" s="14" t="str">
        <x:v>Thoothukudi</x:v>
      </x:c>
      <x:c r="H62" s="14" t="str">
        <x:v>1992-02-01</x:v>
      </x:c>
      <x:c r="I62" s="15" t="n">
        <x:v>210</x:v>
      </x:c>
      <x:c r="J62" s="16" t="n">
        <x:v>1</x:v>
      </x:c>
      <x:c r="K62" s="15" t="n">
        <x:f>I62*J62</x:f>
        <x:v>210</x:v>
      </x:c>
      <x:c r="L62" s="20" t="str">
        <x:v>Tamil Nadu Generation &amp; Distribution Corp. Ltd. (TANGEDCO)</x:v>
      </x:c>
      <x:c r="M62" s="20" t="str">
        <x:v>District carried from original workbook</x:v>
      </x:c>
      <x:c r="N62" s="20" t="str"/>
      <x:c r="O62" s="20" t="str">
        <x:v>Existing</x:v>
      </x:c>
      <x:c r="P62" s="20" t="str">
        <x:v>No online correction applied because a single district was already provided.</x:v>
      </x:c>
    </x:row>
    <x:row r="63">
      <x:c r="A63" s="14" t="n">
        <x:v>63</x:v>
      </x:c>
      <x:c r="B63" s="14" t="str">
        <x:v>Coal</x:v>
      </x:c>
      <x:c r="C63" s="14" t="str">
        <x:v>operational</x:v>
      </x:c>
      <x:c r="D63" s="20" t="str">
        <x:v>Tuticorin TPS</x:v>
      </x:c>
      <x:c r="E63" s="14" t="str">
        <x:v>Tamil Nadu</x:v>
      </x:c>
      <x:c r="F63" s="14" t="str">
        <x:v>Thoothukudi</x:v>
      </x:c>
      <x:c r="G63" s="14" t="str">
        <x:v>Thoothukudi</x:v>
      </x:c>
      <x:c r="H63" s="14" t="str">
        <x:v>1991-03-01</x:v>
      </x:c>
      <x:c r="I63" s="15" t="n">
        <x:v>210</x:v>
      </x:c>
      <x:c r="J63" s="16" t="n">
        <x:v>1</x:v>
      </x:c>
      <x:c r="K63" s="15" t="n">
        <x:f>I63*J63</x:f>
        <x:v>210</x:v>
      </x:c>
      <x:c r="L63" s="20" t="str">
        <x:v>Tamil Nadu Generation &amp; Distribution Corp. Ltd. (TANGEDCO)</x:v>
      </x:c>
      <x:c r="M63" s="20" t="str">
        <x:v>District carried from original workbook</x:v>
      </x:c>
      <x:c r="N63" s="20" t="str"/>
      <x:c r="O63" s="20" t="str">
        <x:v>Existing</x:v>
      </x:c>
      <x:c r="P63" s="20" t="str">
        <x:v>No online correction applied because a single district was already provided.</x:v>
      </x:c>
    </x:row>
    <x:row r="64">
      <x:c r="A64" s="14" t="n">
        <x:v>64</x:v>
      </x:c>
      <x:c r="B64" s="14" t="str">
        <x:v>Coal</x:v>
      </x:c>
      <x:c r="C64" s="14" t="str">
        <x:v>operational</x:v>
      </x:c>
      <x:c r="D64" s="20" t="str">
        <x:v>Tuticorin Thermal Power Plant</x:v>
      </x:c>
      <x:c r="E64" s="14" t="str">
        <x:v>Tamil Nadu</x:v>
      </x:c>
      <x:c r="F64" s="14" t="str">
        <x:v>Thoothukudi</x:v>
      </x:c>
      <x:c r="G64" s="14" t="str">
        <x:v>Thoothukudi</x:v>
      </x:c>
      <x:c r="H64" s="14" t="str">
        <x:v>2021-12-01</x:v>
      </x:c>
      <x:c r="I64" s="15" t="n">
        <x:v>525</x:v>
      </x:c>
      <x:c r="J64" s="16" t="n">
        <x:v>1</x:v>
      </x:c>
      <x:c r="K64" s="15" t="n">
        <x:f>I64*J64</x:f>
        <x:v>525</x:v>
      </x:c>
      <x:c r="L64" s="20" t="str">
        <x:v>SEPC Power Pvt. Ltd.</x:v>
      </x:c>
      <x:c r="M64" s="20" t="str">
        <x:v>District carried from original workbook</x:v>
      </x:c>
      <x:c r="N64" s="20" t="str"/>
      <x:c r="O64" s="20" t="str">
        <x:v>Existing</x:v>
      </x:c>
      <x:c r="P64" s="20" t="str">
        <x:v>No online correction applied because a single district was already provided.</x:v>
      </x:c>
    </x:row>
    <x:row r="65">
      <x:c r="A65" s="14" t="n">
        <x:v>65</x:v>
      </x:c>
      <x:c r="B65" s="14" t="str">
        <x:v>Coal</x:v>
      </x:c>
      <x:c r="C65" s="14" t="str">
        <x:v>pipeline</x:v>
      </x:c>
      <x:c r="D65" s="20" t="str">
        <x:v>Udangudi Power Station</x:v>
      </x:c>
      <x:c r="E65" s="14" t="str">
        <x:v>Tamil Nadu</x:v>
      </x:c>
      <x:c r="F65" s="14" t="str">
        <x:v>Thoothukudi</x:v>
      </x:c>
      <x:c r="G65" s="14" t="str">
        <x:v>Thoothukudi</x:v>
      </x:c>
      <x:c r="H65" s="14" t="str">
        <x:v>2026-03-01</x:v>
      </x:c>
      <x:c r="I65" s="15" t="n">
        <x:v>660</x:v>
      </x:c>
      <x:c r="J65" s="16" t="n">
        <x:v>1</x:v>
      </x:c>
      <x:c r="K65" s="15" t="n">
        <x:f>I65*J65</x:f>
        <x:v>660</x:v>
      </x:c>
      <x:c r="L65" s="20" t="str">
        <x:v>Tamil Nadu Generation &amp; Distribution Corp. Ltd. (TANGEDCO)</x:v>
      </x:c>
      <x:c r="M65" s="20" t="str">
        <x:v>District carried from original workbook</x:v>
      </x:c>
      <x:c r="N65" s="20" t="str"/>
      <x:c r="O65" s="20" t="str">
        <x:v>Existing</x:v>
      </x:c>
      <x:c r="P65" s="20" t="str">
        <x:v>No online correction applied because a single district was already provided.</x:v>
      </x:c>
    </x:row>
    <x:row r="66">
      <x:c r="A66" s="14" t="n">
        <x:v>66</x:v>
      </x:c>
      <x:c r="B66" s="14" t="str">
        <x:v>Coal</x:v>
      </x:c>
      <x:c r="C66" s="14" t="str">
        <x:v>pipeline</x:v>
      </x:c>
      <x:c r="D66" s="20" t="str">
        <x:v>Udangudi Power Station</x:v>
      </x:c>
      <x:c r="E66" s="14" t="str">
        <x:v>Tamil Nadu</x:v>
      </x:c>
      <x:c r="F66" s="14" t="str">
        <x:v>Thoothukudi</x:v>
      </x:c>
      <x:c r="G66" s="14" t="str">
        <x:v>Thoothukudi</x:v>
      </x:c>
      <x:c r="H66" s="14" t="str">
        <x:v>2026-08-01</x:v>
      </x:c>
      <x:c r="I66" s="15" t="n">
        <x:v>660</x:v>
      </x:c>
      <x:c r="J66" s="16" t="n">
        <x:v>1</x:v>
      </x:c>
      <x:c r="K66" s="15" t="n">
        <x:f>I66*J66</x:f>
        <x:v>660</x:v>
      </x:c>
      <x:c r="L66" s="20" t="str">
        <x:v>Tamil Nadu Generation &amp; Distribution Corp. Ltd. (TANGEDCO)</x:v>
      </x:c>
      <x:c r="M66" s="20" t="str">
        <x:v>District carried from original workbook</x:v>
      </x:c>
      <x:c r="N66" s="20" t="str"/>
      <x:c r="O66" s="20" t="str">
        <x:v>Existing</x:v>
      </x:c>
      <x:c r="P66" s="20" t="str">
        <x:v>No online correction applied because a single district was already provided.</x:v>
      </x:c>
    </x:row>
    <x:row r="67">
      <x:c r="A67" s="14" t="n">
        <x:v>67</x:v>
      </x:c>
      <x:c r="B67" s="14" t="str">
        <x:v>Coal</x:v>
      </x:c>
      <x:c r="C67" s="14" t="str">
        <x:v>operational</x:v>
      </x:c>
      <x:c r="D67" s="20" t="str">
        <x:v>Vallur TPP</x:v>
      </x:c>
      <x:c r="E67" s="14" t="str">
        <x:v>Tamil Nadu</x:v>
      </x:c>
      <x:c r="F67" s="14" t="str">
        <x:v>Thiruvallur</x:v>
      </x:c>
      <x:c r="G67" s="14" t="str">
        <x:v>Tiruvallur</x:v>
      </x:c>
      <x:c r="H67" s="14" t="str">
        <x:v>2012-03-01</x:v>
      </x:c>
      <x:c r="I67" s="15" t="n">
        <x:v>500</x:v>
      </x:c>
      <x:c r="J67" s="16" t="n">
        <x:v>1</x:v>
      </x:c>
      <x:c r="K67" s="15" t="n">
        <x:f>I67*J67</x:f>
        <x:v>500</x:v>
      </x:c>
      <x:c r="L67" s="20" t="str">
        <x:v>NTPC Tamil Nadu Energy Co. Ltd. (NTECL)</x:v>
      </x:c>
      <x:c r="M67" s="20" t="str">
        <x:v>District carried from original workbook</x:v>
      </x:c>
      <x:c r="N67" s="20" t="str"/>
      <x:c r="O67" s="20" t="str">
        <x:v>Existing</x:v>
      </x:c>
      <x:c r="P67" s="20" t="str">
        <x:v>No online correction applied because a single district was already provided.</x:v>
      </x:c>
    </x:row>
    <x:row r="68">
      <x:c r="A68" s="14" t="n">
        <x:v>68</x:v>
      </x:c>
      <x:c r="B68" s="14" t="str">
        <x:v>Coal</x:v>
      </x:c>
      <x:c r="C68" s="14" t="str">
        <x:v>operational</x:v>
      </x:c>
      <x:c r="D68" s="20" t="str">
        <x:v>Vallur TPP</x:v>
      </x:c>
      <x:c r="E68" s="14" t="str">
        <x:v>Tamil Nadu</x:v>
      </x:c>
      <x:c r="F68" s="14" t="str">
        <x:v>Thiruvallur</x:v>
      </x:c>
      <x:c r="G68" s="14" t="str">
        <x:v>Tiruvallur</x:v>
      </x:c>
      <x:c r="H68" s="14" t="str">
        <x:v>2013-02-28</x:v>
      </x:c>
      <x:c r="I68" s="15" t="n">
        <x:v>500</x:v>
      </x:c>
      <x:c r="J68" s="16" t="n">
        <x:v>1</x:v>
      </x:c>
      <x:c r="K68" s="15" t="n">
        <x:f>I68*J68</x:f>
        <x:v>500</x:v>
      </x:c>
      <x:c r="L68" s="20" t="str">
        <x:v>NTPC Tamil Nadu Energy Co. Ltd. (NTECL)</x:v>
      </x:c>
      <x:c r="M68" s="20" t="str">
        <x:v>District carried from original workbook</x:v>
      </x:c>
      <x:c r="N68" s="20" t="str"/>
      <x:c r="O68" s="20" t="str">
        <x:v>Existing</x:v>
      </x:c>
      <x:c r="P68" s="20" t="str">
        <x:v>No online correction applied because a single district was already provided.</x:v>
      </x:c>
    </x:row>
    <x:row r="69">
      <x:c r="A69" s="14" t="n">
        <x:v>69</x:v>
      </x:c>
      <x:c r="B69" s="14" t="str">
        <x:v>Coal</x:v>
      </x:c>
      <x:c r="C69" s="14" t="str">
        <x:v>operational</x:v>
      </x:c>
      <x:c r="D69" s="20" t="str">
        <x:v>Vallur TPP</x:v>
      </x:c>
      <x:c r="E69" s="14" t="str">
        <x:v>Tamil Nadu</x:v>
      </x:c>
      <x:c r="F69" s="14" t="str">
        <x:v>Thiruvallur</x:v>
      </x:c>
      <x:c r="G69" s="14" t="str">
        <x:v>Tiruvallur</x:v>
      </x:c>
      <x:c r="H69" s="14" t="str">
        <x:v>2014-02-28</x:v>
      </x:c>
      <x:c r="I69" s="15" t="n">
        <x:v>500</x:v>
      </x:c>
      <x:c r="J69" s="16" t="n">
        <x:v>1</x:v>
      </x:c>
      <x:c r="K69" s="15" t="n">
        <x:f>I69*J69</x:f>
        <x:v>500</x:v>
      </x:c>
      <x:c r="L69" s="20" t="str">
        <x:v>NTPC Tamil Nadu Energy Co. Ltd. (NTECL)</x:v>
      </x:c>
      <x:c r="M69" s="20" t="str">
        <x:v>District carried from original workbook</x:v>
      </x:c>
      <x:c r="N69" s="20" t="str"/>
      <x:c r="O69" s="20" t="str">
        <x:v>Existing</x:v>
      </x:c>
      <x:c r="P69" s="20" t="str">
        <x:v>No online correction applied because a single district was already provided.</x:v>
      </x:c>
    </x:row>
    <x:row r="70">
      <x:c r="A70" s="14" t="n">
        <x:v>70</x:v>
      </x:c>
      <x:c r="B70" s="14" t="str">
        <x:v>Hydro</x:v>
      </x:c>
      <x:c r="C70" s="14" t="str">
        <x:v>operational</x:v>
      </x:c>
      <x:c r="D70" s="20" t="str">
        <x:v>Aliyar Hydroelectric Power Project</x:v>
      </x:c>
      <x:c r="E70" s="14" t="str">
        <x:v>Tamil Nadu</x:v>
      </x:c>
      <x:c r="F70" s="14" t="str">
        <x:v>Coimbatore</x:v>
      </x:c>
      <x:c r="G70" s="14" t="str">
        <x:v>Coimbatore</x:v>
      </x:c>
      <x:c r="H70" s="14" t="str">
        <x:v>1970-03-21</x:v>
      </x:c>
      <x:c r="I70" s="15" t="n">
        <x:v>60</x:v>
      </x:c>
      <x:c r="J70" s="16" t="n">
        <x:v>1</x:v>
      </x:c>
      <x:c r="K70" s="15" t="n">
        <x:f>I70*J70</x:f>
        <x:v>60</x:v>
      </x:c>
      <x:c r="L70" s="20" t="str">
        <x:v>Tamil Nadu Generation &amp; Distribution Co. Limited (TANGEDCO)</x:v>
      </x:c>
      <x:c r="M70" s="20" t="str">
        <x:v>District carried from original workbook</x:v>
      </x:c>
      <x:c r="N70" s="20" t="str"/>
      <x:c r="O70" s="20" t="str">
        <x:v>Existing</x:v>
      </x:c>
      <x:c r="P70" s="20" t="str">
        <x:v>No online correction applied because a single district was already provided.</x:v>
      </x:c>
    </x:row>
    <x:row r="71">
      <x:c r="A71" s="14" t="n">
        <x:v>71</x:v>
      </x:c>
      <x:c r="B71" s="14" t="str">
        <x:v>Hydro</x:v>
      </x:c>
      <x:c r="C71" s="14" t="str">
        <x:v>operational</x:v>
      </x:c>
      <x:c r="D71" s="20" t="str">
        <x:v>Bhavani Kattalai Barrage I Hydroelectric Power Project</x:v>
      </x:c>
      <x:c r="E71" s="14" t="str">
        <x:v>Tamil Nadu</x:v>
      </x:c>
      <x:c r="F71" s="14" t="str">
        <x:v>Erode</x:v>
      </x:c>
      <x:c r="G71" s="14" t="str">
        <x:v>Erode</x:v>
      </x:c>
      <x:c r="H71" s="14" t="str">
        <x:v>2006-12-08</x:v>
      </x:c>
      <x:c r="I71" s="15" t="n">
        <x:v>15</x:v>
      </x:c>
      <x:c r="J71" s="16" t="n">
        <x:v>1</x:v>
      </x:c>
      <x:c r="K71" s="15" t="n">
        <x:f>I71*J71</x:f>
        <x:v>15</x:v>
      </x:c>
      <x:c r="L71" s="20" t="str">
        <x:v>Tamil Nadu Generation &amp; Distribution Co. Limited (TANGEDCO)</x:v>
      </x:c>
      <x:c r="M71" s="20" t="str">
        <x:v>District carried from original workbook</x:v>
      </x:c>
      <x:c r="N71" s="20" t="str"/>
      <x:c r="O71" s="20" t="str">
        <x:v>Existing</x:v>
      </x:c>
      <x:c r="P71" s="20" t="str">
        <x:v>No online correction applied because a single district was already provided.</x:v>
      </x:c>
    </x:row>
    <x:row r="72">
      <x:c r="A72" s="14" t="n">
        <x:v>72</x:v>
      </x:c>
      <x:c r="B72" s="14" t="str">
        <x:v>Hydro</x:v>
      </x:c>
      <x:c r="C72" s="14" t="str">
        <x:v>operational</x:v>
      </x:c>
      <x:c r="D72" s="20" t="str">
        <x:v>Bhavani Kattalai Barrage I Hydroelectric Power Project</x:v>
      </x:c>
      <x:c r="E72" s="14" t="str">
        <x:v>Tamil Nadu</x:v>
      </x:c>
      <x:c r="F72" s="14" t="str">
        <x:v>Erode</x:v>
      </x:c>
      <x:c r="G72" s="14" t="str">
        <x:v>Erode</x:v>
      </x:c>
      <x:c r="H72" s="14" t="str">
        <x:v>2006-07-04</x:v>
      </x:c>
      <x:c r="I72" s="15" t="n">
        <x:v>15</x:v>
      </x:c>
      <x:c r="J72" s="16" t="n">
        <x:v>1</x:v>
      </x:c>
      <x:c r="K72" s="15" t="n">
        <x:f>I72*J72</x:f>
        <x:v>15</x:v>
      </x:c>
      <x:c r="L72" s="20" t="str">
        <x:v>Tamil Nadu Generation &amp; Distribution Co. Limited (TANGEDCO)</x:v>
      </x:c>
      <x:c r="M72" s="20" t="str">
        <x:v>District carried from original workbook</x:v>
      </x:c>
      <x:c r="N72" s="20" t="str"/>
      <x:c r="O72" s="20" t="str">
        <x:v>Existing</x:v>
      </x:c>
      <x:c r="P72" s="20" t="str">
        <x:v>No online correction applied because a single district was already provided.</x:v>
      </x:c>
    </x:row>
    <x:row r="73">
      <x:c r="A73" s="14" t="n">
        <x:v>73</x:v>
      </x:c>
      <x:c r="B73" s="14" t="str">
        <x:v>Hydro</x:v>
      </x:c>
      <x:c r="C73" s="14" t="str">
        <x:v>operational</x:v>
      </x:c>
      <x:c r="D73" s="20" t="str">
        <x:v>Bhavani Kattalai Barrage II Hydroelectric Power Project</x:v>
      </x:c>
      <x:c r="E73" s="14" t="str">
        <x:v>Tamil Nadu</x:v>
      </x:c>
      <x:c r="F73" s="14" t="str">
        <x:v>Erode</x:v>
      </x:c>
      <x:c r="G73" s="14" t="str">
        <x:v>Erode</x:v>
      </x:c>
      <x:c r="H73" s="14" t="str">
        <x:v>2013-08-27</x:v>
      </x:c>
      <x:c r="I73" s="15" t="n">
        <x:v>15</x:v>
      </x:c>
      <x:c r="J73" s="16" t="n">
        <x:v>1</x:v>
      </x:c>
      <x:c r="K73" s="15" t="n">
        <x:f>I73*J73</x:f>
        <x:v>15</x:v>
      </x:c>
      <x:c r="L73" s="20" t="str">
        <x:v>Tamil Nadu Generation &amp; Distribution Co. Limited (TANGEDCO)</x:v>
      </x:c>
      <x:c r="M73" s="20" t="str">
        <x:v>District carried from original workbook</x:v>
      </x:c>
      <x:c r="N73" s="20" t="str"/>
      <x:c r="O73" s="20" t="str">
        <x:v>Existing</x:v>
      </x:c>
      <x:c r="P73" s="20" t="str">
        <x:v>No online correction applied because a single district was already provided.</x:v>
      </x:c>
    </x:row>
    <x:row r="74">
      <x:c r="A74" s="14" t="n">
        <x:v>74</x:v>
      </x:c>
      <x:c r="B74" s="14" t="str">
        <x:v>Hydro</x:v>
      </x:c>
      <x:c r="C74" s="14" t="str">
        <x:v>operational</x:v>
      </x:c>
      <x:c r="D74" s="20" t="str">
        <x:v>Bhavani Kattalai Barrage II Hydroelectric Power Project</x:v>
      </x:c>
      <x:c r="E74" s="14" t="str">
        <x:v>Tamil Nadu</x:v>
      </x:c>
      <x:c r="F74" s="14" t="str">
        <x:v>Erode</x:v>
      </x:c>
      <x:c r="G74" s="14" t="str">
        <x:v>Erode</x:v>
      </x:c>
      <x:c r="H74" s="14" t="str">
        <x:v>2013-09-06</x:v>
      </x:c>
      <x:c r="I74" s="15" t="n">
        <x:v>15</x:v>
      </x:c>
      <x:c r="J74" s="16" t="n">
        <x:v>1</x:v>
      </x:c>
      <x:c r="K74" s="15" t="n">
        <x:f>I74*J74</x:f>
        <x:v>15</x:v>
      </x:c>
      <x:c r="L74" s="20" t="str">
        <x:v>Tamil Nadu Generation &amp; Distribution Co. Limited (TANGEDCO)</x:v>
      </x:c>
      <x:c r="M74" s="20" t="str">
        <x:v>District carried from original workbook</x:v>
      </x:c>
      <x:c r="N74" s="20" t="str"/>
      <x:c r="O74" s="20" t="str">
        <x:v>Existing</x:v>
      </x:c>
      <x:c r="P74" s="20" t="str">
        <x:v>No online correction applied because a single district was already provided.</x:v>
      </x:c>
    </x:row>
    <x:row r="75">
      <x:c r="A75" s="14" t="n">
        <x:v>75</x:v>
      </x:c>
      <x:c r="B75" s="14" t="str">
        <x:v>Hydro</x:v>
      </x:c>
      <x:c r="C75" s="14" t="str">
        <x:v>operational</x:v>
      </x:c>
      <x:c r="D75" s="20" t="str">
        <x:v>Bhavani Kattalai Barrage III Hydroelectric Power Project</x:v>
      </x:c>
      <x:c r="E75" s="14" t="str">
        <x:v>Tamil Nadu</x:v>
      </x:c>
      <x:c r="F75" s="14" t="str">
        <x:v>Erode</x:v>
      </x:c>
      <x:c r="G75" s="14" t="str">
        <x:v>Erode</x:v>
      </x:c>
      <x:c r="H75" s="14" t="str">
        <x:v>2012-06-28</x:v>
      </x:c>
      <x:c r="I75" s="15" t="n">
        <x:v>15</x:v>
      </x:c>
      <x:c r="J75" s="16" t="n">
        <x:v>1</x:v>
      </x:c>
      <x:c r="K75" s="15" t="n">
        <x:f>I75*J75</x:f>
        <x:v>15</x:v>
      </x:c>
      <x:c r="L75" s="20" t="str">
        <x:v>Tamil Nadu Generation &amp; Distribution Co. Limited (TANGEDCO)</x:v>
      </x:c>
      <x:c r="M75" s="20" t="str">
        <x:v>District carried from original workbook</x:v>
      </x:c>
      <x:c r="N75" s="20" t="str"/>
      <x:c r="O75" s="20" t="str">
        <x:v>Existing</x:v>
      </x:c>
      <x:c r="P75" s="20" t="str">
        <x:v>No online correction applied because a single district was already provided.</x:v>
      </x:c>
    </x:row>
    <x:row r="76">
      <x:c r="A76" s="14" t="n">
        <x:v>76</x:v>
      </x:c>
      <x:c r="B76" s="14" t="str">
        <x:v>Hydro</x:v>
      </x:c>
      <x:c r="C76" s="14" t="str">
        <x:v>operational</x:v>
      </x:c>
      <x:c r="D76" s="20" t="str">
        <x:v>Bhavani Kattalai Barrage III Hydroelectric Power Project</x:v>
      </x:c>
      <x:c r="E76" s="14" t="str">
        <x:v>Tamil Nadu</x:v>
      </x:c>
      <x:c r="F76" s="14" t="str">
        <x:v>Erode</x:v>
      </x:c>
      <x:c r="G76" s="14" t="str">
        <x:v>Erode</x:v>
      </x:c>
      <x:c r="H76" s="14" t="str">
        <x:v>2013-08-01</x:v>
      </x:c>
      <x:c r="I76" s="15" t="n">
        <x:v>15</x:v>
      </x:c>
      <x:c r="J76" s="16" t="n">
        <x:v>1</x:v>
      </x:c>
      <x:c r="K76" s="15" t="n">
        <x:f>I76*J76</x:f>
        <x:v>15</x:v>
      </x:c>
      <x:c r="L76" s="20" t="str">
        <x:v>Tamil Nadu Generation &amp; Distribution Co. Limited (TANGEDCO)</x:v>
      </x:c>
      <x:c r="M76" s="20" t="str">
        <x:v>District carried from original workbook</x:v>
      </x:c>
      <x:c r="N76" s="20" t="str"/>
      <x:c r="O76" s="20" t="str">
        <x:v>Existing</x:v>
      </x:c>
      <x:c r="P76" s="20" t="str">
        <x:v>No online correction applied because a single district was already provided.</x:v>
      </x:c>
    </x:row>
    <x:row r="77">
      <x:c r="A77" s="14" t="n">
        <x:v>77</x:v>
      </x:c>
      <x:c r="B77" s="14" t="str">
        <x:v>Hydro</x:v>
      </x:c>
      <x:c r="C77" s="14" t="str">
        <x:v>operational</x:v>
      </x:c>
      <x:c r="D77" s="20" t="str">
        <x:v>Kadmparai Power House</x:v>
      </x:c>
      <x:c r="E77" s="14" t="str">
        <x:v>Tamil Nadu</x:v>
      </x:c>
      <x:c r="F77" s="14" t="str">
        <x:v>Coimbatore</x:v>
      </x:c>
      <x:c r="G77" s="14" t="str">
        <x:v>Coimbatore</x:v>
      </x:c>
      <x:c r="H77" s="14" t="str">
        <x:v>1987-10-17</x:v>
      </x:c>
      <x:c r="I77" s="15" t="n">
        <x:v>100</x:v>
      </x:c>
      <x:c r="J77" s="16" t="n">
        <x:v>1</x:v>
      </x:c>
      <x:c r="K77" s="15" t="n">
        <x:f>I77*J77</x:f>
        <x:v>100</x:v>
      </x:c>
      <x:c r="L77" s="20" t="str">
        <x:v>Tamil Nadu Generation &amp; Distribution Co. Limited (TANGEDCO)</x:v>
      </x:c>
      <x:c r="M77" s="20" t="str">
        <x:v>District carried from original workbook</x:v>
      </x:c>
      <x:c r="N77" s="20" t="str"/>
      <x:c r="O77" s="20" t="str">
        <x:v>Existing</x:v>
      </x:c>
      <x:c r="P77" s="20" t="str">
        <x:v>No online correction applied because a single district was already provided.</x:v>
      </x:c>
    </x:row>
    <x:row r="78">
      <x:c r="A78" s="14" t="n">
        <x:v>78</x:v>
      </x:c>
      <x:c r="B78" s="14" t="str">
        <x:v>Hydro</x:v>
      </x:c>
      <x:c r="C78" s="14" t="str">
        <x:v>operational</x:v>
      </x:c>
      <x:c r="D78" s="20" t="str">
        <x:v>Kadmparai Power House</x:v>
      </x:c>
      <x:c r="E78" s="14" t="str">
        <x:v>Tamil Nadu</x:v>
      </x:c>
      <x:c r="F78" s="14" t="str">
        <x:v>Coimbatore</x:v>
      </x:c>
      <x:c r="G78" s="14" t="str">
        <x:v>Coimbatore</x:v>
      </x:c>
      <x:c r="H78" s="14" t="str">
        <x:v>1988-02-26</x:v>
      </x:c>
      <x:c r="I78" s="15" t="n">
        <x:v>100</x:v>
      </x:c>
      <x:c r="J78" s="16" t="n">
        <x:v>1</x:v>
      </x:c>
      <x:c r="K78" s="15" t="n">
        <x:f>I78*J78</x:f>
        <x:v>100</x:v>
      </x:c>
      <x:c r="L78" s="20" t="str">
        <x:v>Tamil Nadu Generation &amp; Distribution Co. Limited (TANGEDCO)</x:v>
      </x:c>
      <x:c r="M78" s="20" t="str">
        <x:v>District carried from original workbook</x:v>
      </x:c>
      <x:c r="N78" s="20" t="str"/>
      <x:c r="O78" s="20" t="str">
        <x:v>Existing</x:v>
      </x:c>
      <x:c r="P78" s="20" t="str">
        <x:v>No online correction applied because a single district was already provided.</x:v>
      </x:c>
    </x:row>
    <x:row r="79">
      <x:c r="A79" s="14" t="n">
        <x:v>79</x:v>
      </x:c>
      <x:c r="B79" s="14" t="str">
        <x:v>Hydro</x:v>
      </x:c>
      <x:c r="C79" s="14" t="str">
        <x:v>operational</x:v>
      </x:c>
      <x:c r="D79" s="20" t="str">
        <x:v>Kadmparai Power House</x:v>
      </x:c>
      <x:c r="E79" s="14" t="str">
        <x:v>Tamil Nadu</x:v>
      </x:c>
      <x:c r="F79" s="14" t="str">
        <x:v>Coimbatore</x:v>
      </x:c>
      <x:c r="G79" s="14" t="str">
        <x:v>Coimbatore</x:v>
      </x:c>
      <x:c r="H79" s="14" t="str">
        <x:v>1988-04-12</x:v>
      </x:c>
      <x:c r="I79" s="15" t="n">
        <x:v>100</x:v>
      </x:c>
      <x:c r="J79" s="16" t="n">
        <x:v>1</x:v>
      </x:c>
      <x:c r="K79" s="15" t="n">
        <x:f>I79*J79</x:f>
        <x:v>100</x:v>
      </x:c>
      <x:c r="L79" s="20" t="str">
        <x:v>Tamil Nadu Generation &amp; Distribution Co. Limited (TANGEDCO)</x:v>
      </x:c>
      <x:c r="M79" s="20" t="str">
        <x:v>District carried from original workbook</x:v>
      </x:c>
      <x:c r="N79" s="20" t="str"/>
      <x:c r="O79" s="20" t="str">
        <x:v>Existing</x:v>
      </x:c>
      <x:c r="P79" s="20" t="str">
        <x:v>No online correction applied because a single district was already provided.</x:v>
      </x:c>
    </x:row>
    <x:row r="80">
      <x:c r="A80" s="14" t="n">
        <x:v>80</x:v>
      </x:c>
      <x:c r="B80" s="14" t="str">
        <x:v>Hydro</x:v>
      </x:c>
      <x:c r="C80" s="14" t="str">
        <x:v>operational</x:v>
      </x:c>
      <x:c r="D80" s="20" t="str">
        <x:v>Kadmparai Power House</x:v>
      </x:c>
      <x:c r="E80" s="14" t="str">
        <x:v>Tamil Nadu</x:v>
      </x:c>
      <x:c r="F80" s="14" t="str">
        <x:v>Coimbatore</x:v>
      </x:c>
      <x:c r="G80" s="14" t="str">
        <x:v>Coimbatore</x:v>
      </x:c>
      <x:c r="H80" s="14" t="str">
        <x:v>1989-12-16</x:v>
      </x:c>
      <x:c r="I80" s="15" t="n">
        <x:v>100</x:v>
      </x:c>
      <x:c r="J80" s="16" t="n">
        <x:v>1</x:v>
      </x:c>
      <x:c r="K80" s="15" t="n">
        <x:f>I80*J80</x:f>
        <x:v>100</x:v>
      </x:c>
      <x:c r="L80" s="20" t="str">
        <x:v>Tamil Nadu Generation &amp; Distribution Co. Limited (TANGEDCO)</x:v>
      </x:c>
      <x:c r="M80" s="20" t="str">
        <x:v>District carried from original workbook</x:v>
      </x:c>
      <x:c r="N80" s="20" t="str"/>
      <x:c r="O80" s="20" t="str">
        <x:v>Existing</x:v>
      </x:c>
      <x:c r="P80" s="20" t="str">
        <x:v>No online correction applied because a single district was already provided.</x:v>
      </x:c>
    </x:row>
    <x:row r="81">
      <x:c r="A81" s="14" t="n">
        <x:v>81</x:v>
      </x:c>
      <x:c r="B81" s="14" t="str">
        <x:v>Hydro</x:v>
      </x:c>
      <x:c r="C81" s="14" t="str">
        <x:v>operational</x:v>
      </x:c>
      <x:c r="D81" s="20" t="str">
        <x:v>Kodayar I &amp; II Power House</x:v>
      </x:c>
      <x:c r="E81" s="14" t="str">
        <x:v>Tamil Nadu</x:v>
      </x:c>
      <x:c r="F81" s="14" t="str">
        <x:v>Kanyakumari</x:v>
      </x:c>
      <x:c r="G81" s="14" t="str">
        <x:v>Kanyakumari</x:v>
      </x:c>
      <x:c r="H81" s="14" t="str">
        <x:v>1970-12-09</x:v>
      </x:c>
      <x:c r="I81" s="15" t="n">
        <x:v>60</x:v>
      </x:c>
      <x:c r="J81" s="16" t="n">
        <x:v>1</x:v>
      </x:c>
      <x:c r="K81" s="15" t="n">
        <x:f>I81*J81</x:f>
        <x:v>60</x:v>
      </x:c>
      <x:c r="L81" s="20" t="str">
        <x:v>Tamil Nadu Generation &amp; Distribution Co. Limited (TANGEDCO)</x:v>
      </x:c>
      <x:c r="M81" s="20" t="str">
        <x:v>District carried from original workbook</x:v>
      </x:c>
      <x:c r="N81" s="20" t="str"/>
      <x:c r="O81" s="20" t="str">
        <x:v>Existing</x:v>
      </x:c>
      <x:c r="P81" s="20" t="str">
        <x:v>No online correction applied because a single district was already provided.</x:v>
      </x:c>
    </x:row>
    <x:row r="82">
      <x:c r="A82" s="14" t="n">
        <x:v>82</x:v>
      </x:c>
      <x:c r="B82" s="14" t="str">
        <x:v>Hydro</x:v>
      </x:c>
      <x:c r="C82" s="14" t="str">
        <x:v>operational</x:v>
      </x:c>
      <x:c r="D82" s="20" t="str">
        <x:v>Kodayar I &amp; II Power House</x:v>
      </x:c>
      <x:c r="E82" s="14" t="str">
        <x:v>Tamil Nadu</x:v>
      </x:c>
      <x:c r="F82" s="14" t="str">
        <x:v>Kanyakumari</x:v>
      </x:c>
      <x:c r="G82" s="14" t="str">
        <x:v>Kanyakumari</x:v>
      </x:c>
      <x:c r="H82" s="14" t="str">
        <x:v>1971-11-17</x:v>
      </x:c>
      <x:c r="I82" s="15" t="n">
        <x:v>40</x:v>
      </x:c>
      <x:c r="J82" s="16" t="n">
        <x:v>1</x:v>
      </x:c>
      <x:c r="K82" s="15" t="n">
        <x:f>I82*J82</x:f>
        <x:v>40</x:v>
      </x:c>
      <x:c r="L82" s="20" t="str">
        <x:v>Tamil Nadu Generation &amp; Distribution Co. Limited (TANGEDCO)</x:v>
      </x:c>
      <x:c r="M82" s="20" t="str">
        <x:v>District carried from original workbook</x:v>
      </x:c>
      <x:c r="N82" s="20" t="str"/>
      <x:c r="O82" s="20" t="str">
        <x:v>Existing</x:v>
      </x:c>
      <x:c r="P82" s="20" t="str">
        <x:v>No online correction applied because a single district was already provided.</x:v>
      </x:c>
    </x:row>
    <x:row r="83">
      <x:c r="A83" s="14" t="n">
        <x:v>83</x:v>
      </x:c>
      <x:c r="B83" s="14" t="str">
        <x:v>Hydro</x:v>
      </x:c>
      <x:c r="C83" s="14" t="str">
        <x:v>operational</x:v>
      </x:c>
      <x:c r="D83" s="20" t="str">
        <x:v>Kundah I to V Hydroelectric Power Project</x:v>
      </x:c>
      <x:c r="E83" s="14" t="str">
        <x:v>Tamil Nadu</x:v>
      </x:c>
      <x:c r="F83" s="14" t="str">
        <x:v>Nilgiris</x:v>
      </x:c>
      <x:c r="G83" s="14" t="str">
        <x:v>Nilgiris</x:v>
      </x:c>
      <x:c r="H83" s="14" t="str">
        <x:v>1960-07-08</x:v>
      </x:c>
      <x:c r="I83" s="15" t="n">
        <x:v>20</x:v>
      </x:c>
      <x:c r="J83" s="16" t="n">
        <x:v>1</x:v>
      </x:c>
      <x:c r="K83" s="15" t="n">
        <x:f>I83*J83</x:f>
        <x:v>20</x:v>
      </x:c>
      <x:c r="L83" s="20" t="str">
        <x:v>Tamil Nadu Generation &amp; Distribution Co. Limited (TANGEDCO)</x:v>
      </x:c>
      <x:c r="M83" s="20" t="str">
        <x:v>District carried from original workbook</x:v>
      </x:c>
      <x:c r="N83" s="20" t="str"/>
      <x:c r="O83" s="20" t="str">
        <x:v>Existing</x:v>
      </x:c>
      <x:c r="P83" s="20" t="str">
        <x:v>No online correction applied because a single district was already provided.</x:v>
      </x:c>
    </x:row>
    <x:row r="84">
      <x:c r="A84" s="14" t="n">
        <x:v>84</x:v>
      </x:c>
      <x:c r="B84" s="14" t="str">
        <x:v>Hydro</x:v>
      </x:c>
      <x:c r="C84" s="14" t="str">
        <x:v>operational</x:v>
      </x:c>
      <x:c r="D84" s="20" t="str">
        <x:v>Kundah I to V Hydroelectric Power Project</x:v>
      </x:c>
      <x:c r="E84" s="14" t="str">
        <x:v>Tamil Nadu</x:v>
      </x:c>
      <x:c r="F84" s="14" t="str">
        <x:v>Nilgiris</x:v>
      </x:c>
      <x:c r="G84" s="14" t="str">
        <x:v>Nilgiris</x:v>
      </x:c>
      <x:c r="H84" s="14" t="str">
        <x:v>1960-07-22</x:v>
      </x:c>
      <x:c r="I84" s="15" t="n">
        <x:v>20</x:v>
      </x:c>
      <x:c r="J84" s="16" t="n">
        <x:v>1</x:v>
      </x:c>
      <x:c r="K84" s="15" t="n">
        <x:f>I84*J84</x:f>
        <x:v>20</x:v>
      </x:c>
      <x:c r="L84" s="20" t="str">
        <x:v>Tamil Nadu Generation &amp; Distribution Co. Limited (TANGEDCO)</x:v>
      </x:c>
      <x:c r="M84" s="20" t="str">
        <x:v>District carried from original workbook</x:v>
      </x:c>
      <x:c r="N84" s="20" t="str"/>
      <x:c r="O84" s="20" t="str">
        <x:v>Existing</x:v>
      </x:c>
      <x:c r="P84" s="20" t="str">
        <x:v>No online correction applied because a single district was already provided.</x:v>
      </x:c>
    </x:row>
    <x:row r="85">
      <x:c r="A85" s="14" t="n">
        <x:v>85</x:v>
      </x:c>
      <x:c r="B85" s="14" t="str">
        <x:v>Hydro</x:v>
      </x:c>
      <x:c r="C85" s="14" t="str">
        <x:v>operational</x:v>
      </x:c>
      <x:c r="D85" s="20" t="str">
        <x:v>Kundah I to V Hydroelectric Power Project</x:v>
      </x:c>
      <x:c r="E85" s="14" t="str">
        <x:v>Tamil Nadu</x:v>
      </x:c>
      <x:c r="F85" s="14" t="str">
        <x:v>Nilgiris</x:v>
      </x:c>
      <x:c r="G85" s="14" t="str">
        <x:v>Nilgiris</x:v>
      </x:c>
      <x:c r="H85" s="14" t="str">
        <x:v>1964-04-01</x:v>
      </x:c>
      <x:c r="I85" s="15" t="n">
        <x:v>20</x:v>
      </x:c>
      <x:c r="J85" s="16" t="n">
        <x:v>1</x:v>
      </x:c>
      <x:c r="K85" s="15" t="n">
        <x:f>I85*J85</x:f>
        <x:v>20</x:v>
      </x:c>
      <x:c r="L85" s="20" t="str">
        <x:v>Tamil Nadu Generation &amp; Distribution Co. Limited (TANGEDCO)</x:v>
      </x:c>
      <x:c r="M85" s="20" t="str">
        <x:v>District carried from original workbook</x:v>
      </x:c>
      <x:c r="N85" s="20" t="str"/>
      <x:c r="O85" s="20" t="str">
        <x:v>Existing</x:v>
      </x:c>
      <x:c r="P85" s="20" t="str">
        <x:v>No online correction applied because a single district was already provided.</x:v>
      </x:c>
    </x:row>
    <x:row r="86">
      <x:c r="A86" s="14" t="n">
        <x:v>86</x:v>
      </x:c>
      <x:c r="B86" s="14" t="str">
        <x:v>Hydro</x:v>
      </x:c>
      <x:c r="C86" s="14" t="str">
        <x:v>operational</x:v>
      </x:c>
      <x:c r="D86" s="20" t="str">
        <x:v>Kundah I to V Hydroelectric Power Project</x:v>
      </x:c>
      <x:c r="E86" s="14" t="str">
        <x:v>Tamil Nadu</x:v>
      </x:c>
      <x:c r="F86" s="14" t="str">
        <x:v>Nilgiris</x:v>
      </x:c>
      <x:c r="G86" s="14" t="str">
        <x:v>Nilgiris</x:v>
      </x:c>
      <x:c r="H86" s="14" t="str">
        <x:v>1960-10-30</x:v>
      </x:c>
      <x:c r="I86" s="15" t="n">
        <x:v>35</x:v>
      </x:c>
      <x:c r="J86" s="16" t="n">
        <x:v>1</x:v>
      </x:c>
      <x:c r="K86" s="15" t="n">
        <x:f>I86*J86</x:f>
        <x:v>35</x:v>
      </x:c>
      <x:c r="L86" s="20" t="str">
        <x:v>Tamil Nadu Generation &amp; Distribution Co. Limited (TANGEDCO)</x:v>
      </x:c>
      <x:c r="M86" s="20" t="str">
        <x:v>District carried from original workbook</x:v>
      </x:c>
      <x:c r="N86" s="20" t="str"/>
      <x:c r="O86" s="20" t="str">
        <x:v>Existing</x:v>
      </x:c>
      <x:c r="P86" s="20" t="str">
        <x:v>No online correction applied because a single district was already provided.</x:v>
      </x:c>
    </x:row>
    <x:row r="87">
      <x:c r="A87" s="14" t="n">
        <x:v>87</x:v>
      </x:c>
      <x:c r="B87" s="14" t="str">
        <x:v>Hydro</x:v>
      </x:c>
      <x:c r="C87" s="14" t="str">
        <x:v>operational</x:v>
      </x:c>
      <x:c r="D87" s="20" t="str">
        <x:v>Kundah I to V Hydroelectric Power Project</x:v>
      </x:c>
      <x:c r="E87" s="14" t="str">
        <x:v>Tamil Nadu</x:v>
      </x:c>
      <x:c r="F87" s="14" t="str">
        <x:v>Nilgiris</x:v>
      </x:c>
      <x:c r="G87" s="14" t="str">
        <x:v>Nilgiris</x:v>
      </x:c>
      <x:c r="H87" s="14" t="str">
        <x:v>1961-01-10</x:v>
      </x:c>
      <x:c r="I87" s="15" t="n">
        <x:v>35</x:v>
      </x:c>
      <x:c r="J87" s="16" t="n">
        <x:v>1</x:v>
      </x:c>
      <x:c r="K87" s="15" t="n">
        <x:f>I87*J87</x:f>
        <x:v>35</x:v>
      </x:c>
      <x:c r="L87" s="20" t="str">
        <x:v>Tamil Nadu Generation &amp; Distribution Co. Limited (TANGEDCO)</x:v>
      </x:c>
      <x:c r="M87" s="20" t="str">
        <x:v>District carried from original workbook</x:v>
      </x:c>
      <x:c r="N87" s="20" t="str"/>
      <x:c r="O87" s="20" t="str">
        <x:v>Existing</x:v>
      </x:c>
      <x:c r="P87" s="20" t="str">
        <x:v>No online correction applied because a single district was already provided.</x:v>
      </x:c>
    </x:row>
    <x:row r="88">
      <x:c r="A88" s="14" t="n">
        <x:v>88</x:v>
      </x:c>
      <x:c r="B88" s="14" t="str">
        <x:v>Hydro</x:v>
      </x:c>
      <x:c r="C88" s="14" t="str">
        <x:v>operational</x:v>
      </x:c>
      <x:c r="D88" s="20" t="str">
        <x:v>Kundah I to V Hydroelectric Power Project</x:v>
      </x:c>
      <x:c r="E88" s="14" t="str">
        <x:v>Tamil Nadu</x:v>
      </x:c>
      <x:c r="F88" s="14" t="str">
        <x:v>Nilgiris</x:v>
      </x:c>
      <x:c r="G88" s="14" t="str">
        <x:v>Nilgiris</x:v>
      </x:c>
      <x:c r="H88" s="14" t="str">
        <x:v>1961-05-02</x:v>
      </x:c>
      <x:c r="I88" s="15" t="n">
        <x:v>35</x:v>
      </x:c>
      <x:c r="J88" s="16" t="n">
        <x:v>1</x:v>
      </x:c>
      <x:c r="K88" s="15" t="n">
        <x:f>I88*J88</x:f>
        <x:v>35</x:v>
      </x:c>
      <x:c r="L88" s="20" t="str">
        <x:v>Tamil Nadu Generation &amp; Distribution Co. Limited (TANGEDCO)</x:v>
      </x:c>
      <x:c r="M88" s="20" t="str">
        <x:v>District carried from original workbook</x:v>
      </x:c>
      <x:c r="N88" s="20" t="str"/>
      <x:c r="O88" s="20" t="str">
        <x:v>Existing</x:v>
      </x:c>
      <x:c r="P88" s="20" t="str">
        <x:v>No online correction applied because a single district was already provided.</x:v>
      </x:c>
    </x:row>
    <x:row r="89">
      <x:c r="A89" s="14" t="n">
        <x:v>89</x:v>
      </x:c>
      <x:c r="B89" s="14" t="str">
        <x:v>Hydro</x:v>
      </x:c>
      <x:c r="C89" s="14" t="str">
        <x:v>operational</x:v>
      </x:c>
      <x:c r="D89" s="20" t="str">
        <x:v>Kundah I to V Hydroelectric Power Project</x:v>
      </x:c>
      <x:c r="E89" s="14" t="str">
        <x:v>Tamil Nadu</x:v>
      </x:c>
      <x:c r="F89" s="14" t="str">
        <x:v>Nilgiris</x:v>
      </x:c>
      <x:c r="G89" s="14" t="str">
        <x:v>Nilgiris</x:v>
      </x:c>
      <x:c r="H89" s="14" t="str">
        <x:v>1961-06-16</x:v>
      </x:c>
      <x:c r="I89" s="15" t="n">
        <x:v>35</x:v>
      </x:c>
      <x:c r="J89" s="16" t="n">
        <x:v>1</x:v>
      </x:c>
      <x:c r="K89" s="15" t="n">
        <x:f>I89*J89</x:f>
        <x:v>35</x:v>
      </x:c>
      <x:c r="L89" s="20" t="str">
        <x:v>Tamil Nadu Generation &amp; Distribution Co. Limited (TANGEDCO)</x:v>
      </x:c>
      <x:c r="M89" s="20" t="str">
        <x:v>District carried from original workbook</x:v>
      </x:c>
      <x:c r="N89" s="20" t="str"/>
      <x:c r="O89" s="20" t="str">
        <x:v>Existing</x:v>
      </x:c>
      <x:c r="P89" s="20" t="str">
        <x:v>No online correction applied because a single district was already provided.</x:v>
      </x:c>
    </x:row>
    <x:row r="90">
      <x:c r="A90" s="14" t="n">
        <x:v>90</x:v>
      </x:c>
      <x:c r="B90" s="14" t="str">
        <x:v>Hydro</x:v>
      </x:c>
      <x:c r="C90" s="14" t="str">
        <x:v>operational</x:v>
      </x:c>
      <x:c r="D90" s="20" t="str">
        <x:v>Kundah I to V Hydroelectric Power Project</x:v>
      </x:c>
      <x:c r="E90" s="14" t="str">
        <x:v>Tamil Nadu</x:v>
      </x:c>
      <x:c r="F90" s="14" t="str">
        <x:v>Nilgiris</x:v>
      </x:c>
      <x:c r="G90" s="14" t="str">
        <x:v>Nilgiris</x:v>
      </x:c>
      <x:c r="H90" s="14" t="str">
        <x:v>1964-02-23</x:v>
      </x:c>
      <x:c r="I90" s="15" t="n">
        <x:v>35</x:v>
      </x:c>
      <x:c r="J90" s="16" t="n">
        <x:v>1</x:v>
      </x:c>
      <x:c r="K90" s="15" t="n">
        <x:f>I90*J90</x:f>
        <x:v>35</x:v>
      </x:c>
      <x:c r="L90" s="20" t="str">
        <x:v>Tamil Nadu Generation &amp; Distribution Co. Limited (TANGEDCO)</x:v>
      </x:c>
      <x:c r="M90" s="20" t="str">
        <x:v>District carried from original workbook</x:v>
      </x:c>
      <x:c r="N90" s="20" t="str"/>
      <x:c r="O90" s="20" t="str">
        <x:v>Existing</x:v>
      </x:c>
      <x:c r="P90" s="20" t="str">
        <x:v>No online correction applied because a single district was already provided.</x:v>
      </x:c>
    </x:row>
    <x:row r="91">
      <x:c r="A91" s="14" t="n">
        <x:v>91</x:v>
      </x:c>
      <x:c r="B91" s="14" t="str">
        <x:v>Hydro</x:v>
      </x:c>
      <x:c r="C91" s="14" t="str">
        <x:v>operational</x:v>
      </x:c>
      <x:c r="D91" s="20" t="str">
        <x:v>Kundah I to V Hydroelectric Power Project</x:v>
      </x:c>
      <x:c r="E91" s="14" t="str">
        <x:v>Tamil Nadu</x:v>
      </x:c>
      <x:c r="F91" s="14" t="str">
        <x:v>Coimbatore</x:v>
      </x:c>
      <x:c r="G91" s="14" t="str">
        <x:v>Coimbatore</x:v>
      </x:c>
      <x:c r="H91" s="14" t="str">
        <x:v>1965-04-07</x:v>
      </x:c>
      <x:c r="I91" s="15" t="n">
        <x:v>60</x:v>
      </x:c>
      <x:c r="J91" s="16" t="n">
        <x:v>1</x:v>
      </x:c>
      <x:c r="K91" s="15" t="n">
        <x:f>I91*J91</x:f>
        <x:v>60</x:v>
      </x:c>
      <x:c r="L91" s="20" t="str">
        <x:v>Tamil Nadu Generation &amp; Distribution Co. Limited (TANGEDCO)</x:v>
      </x:c>
      <x:c r="M91" s="20" t="str">
        <x:v>District carried from original workbook</x:v>
      </x:c>
      <x:c r="N91" s="20" t="str"/>
      <x:c r="O91" s="20" t="str">
        <x:v>Existing</x:v>
      </x:c>
      <x:c r="P91" s="20" t="str">
        <x:v>No online correction applied because a single district was already provided.</x:v>
      </x:c>
    </x:row>
    <x:row r="92">
      <x:c r="A92" s="14" t="n">
        <x:v>92</x:v>
      </x:c>
      <x:c r="B92" s="14" t="str">
        <x:v>Hydro</x:v>
      </x:c>
      <x:c r="C92" s="14" t="str">
        <x:v>operational</x:v>
      </x:c>
      <x:c r="D92" s="20" t="str">
        <x:v>Kundah I to V Hydroelectric Power Project</x:v>
      </x:c>
      <x:c r="E92" s="14" t="str">
        <x:v>Tamil Nadu</x:v>
      </x:c>
      <x:c r="F92" s="14" t="str">
        <x:v>Coimbatore</x:v>
      </x:c>
      <x:c r="G92" s="14" t="str">
        <x:v>Coimbatore</x:v>
      </x:c>
      <x:c r="H92" s="14" t="str">
        <x:v>1965-06-11</x:v>
      </x:c>
      <x:c r="I92" s="15" t="n">
        <x:v>60</x:v>
      </x:c>
      <x:c r="J92" s="16" t="n">
        <x:v>1</x:v>
      </x:c>
      <x:c r="K92" s="15" t="n">
        <x:f>I92*J92</x:f>
        <x:v>60</x:v>
      </x:c>
      <x:c r="L92" s="20" t="str">
        <x:v>Tamil Nadu Generation &amp; Distribution Co. Limited (TANGEDCO)</x:v>
      </x:c>
      <x:c r="M92" s="20" t="str">
        <x:v>District carried from original workbook</x:v>
      </x:c>
      <x:c r="N92" s="20" t="str"/>
      <x:c r="O92" s="20" t="str">
        <x:v>Existing</x:v>
      </x:c>
      <x:c r="P92" s="20" t="str">
        <x:v>No online correction applied because a single district was already provided.</x:v>
      </x:c>
    </x:row>
    <x:row r="93">
      <x:c r="A93" s="14" t="n">
        <x:v>93</x:v>
      </x:c>
      <x:c r="B93" s="14" t="str">
        <x:v>Hydro</x:v>
      </x:c>
      <x:c r="C93" s="14" t="str">
        <x:v>operational</x:v>
      </x:c>
      <x:c r="D93" s="20" t="str">
        <x:v>Kundah I to V Hydroelectric Power Project</x:v>
      </x:c>
      <x:c r="E93" s="14" t="str">
        <x:v>Tamil Nadu</x:v>
      </x:c>
      <x:c r="F93" s="14" t="str">
        <x:v>Coimbatore</x:v>
      </x:c>
      <x:c r="G93" s="14" t="str">
        <x:v>Coimbatore</x:v>
      </x:c>
      <x:c r="H93" s="14" t="str">
        <x:v>1978-02-18</x:v>
      </x:c>
      <x:c r="I93" s="15" t="n">
        <x:v>60</x:v>
      </x:c>
      <x:c r="J93" s="16" t="n">
        <x:v>1</x:v>
      </x:c>
      <x:c r="K93" s="15" t="n">
        <x:f>I93*J93</x:f>
        <x:v>60</x:v>
      </x:c>
      <x:c r="L93" s="20" t="str">
        <x:v>Tamil Nadu Generation &amp; Distribution Co. Limited (TANGEDCO)</x:v>
      </x:c>
      <x:c r="M93" s="20" t="str">
        <x:v>District carried from original workbook</x:v>
      </x:c>
      <x:c r="N93" s="20" t="str"/>
      <x:c r="O93" s="20" t="str">
        <x:v>Existing</x:v>
      </x:c>
      <x:c r="P93" s="20" t="str">
        <x:v>No online correction applied because a single district was already provided.</x:v>
      </x:c>
    </x:row>
    <x:row r="94">
      <x:c r="A94" s="14" t="n">
        <x:v>94</x:v>
      </x:c>
      <x:c r="B94" s="14" t="str">
        <x:v>Hydro</x:v>
      </x:c>
      <x:c r="C94" s="14" t="str">
        <x:v>operational</x:v>
      </x:c>
      <x:c r="D94" s="20" t="str">
        <x:v>Kundah I to V Hydroelectric Power Project</x:v>
      </x:c>
      <x:c r="E94" s="14" t="str">
        <x:v>Tamil Nadu</x:v>
      </x:c>
      <x:c r="F94" s="14" t="str">
        <x:v>Coimbatore</x:v>
      </x:c>
      <x:c r="G94" s="14" t="str">
        <x:v>Coimbatore</x:v>
      </x:c>
      <x:c r="H94" s="14" t="str">
        <x:v>1966-02-27</x:v>
      </x:c>
      <x:c r="I94" s="15" t="n">
        <x:v>50</x:v>
      </x:c>
      <x:c r="J94" s="16" t="n">
        <x:v>1</x:v>
      </x:c>
      <x:c r="K94" s="15" t="n">
        <x:f>I94*J94</x:f>
        <x:v>50</x:v>
      </x:c>
      <x:c r="L94" s="20" t="str">
        <x:v>Tamil Nadu Generation &amp; Distribution Co. Limited (TANGEDCO)</x:v>
      </x:c>
      <x:c r="M94" s="20" t="str">
        <x:v>District carried from original workbook</x:v>
      </x:c>
      <x:c r="N94" s="20" t="str"/>
      <x:c r="O94" s="20" t="str">
        <x:v>Existing</x:v>
      </x:c>
      <x:c r="P94" s="20" t="str">
        <x:v>No online correction applied because a single district was already provided.</x:v>
      </x:c>
    </x:row>
    <x:row r="95">
      <x:c r="A95" s="14" t="n">
        <x:v>95</x:v>
      </x:c>
      <x:c r="B95" s="14" t="str">
        <x:v>Hydro</x:v>
      </x:c>
      <x:c r="C95" s="14" t="str">
        <x:v>operational</x:v>
      </x:c>
      <x:c r="D95" s="20" t="str">
        <x:v>Kundah I to V Hydroelectric Power Project</x:v>
      </x:c>
      <x:c r="E95" s="14" t="str">
        <x:v>Tamil Nadu</x:v>
      </x:c>
      <x:c r="F95" s="14" t="str">
        <x:v>Coimbatore</x:v>
      </x:c>
      <x:c r="G95" s="14" t="str">
        <x:v>Coimbatore</x:v>
      </x:c>
      <x:c r="H95" s="14" t="str">
        <x:v>1978-10-19</x:v>
      </x:c>
      <x:c r="I95" s="15" t="n">
        <x:v>50</x:v>
      </x:c>
      <x:c r="J95" s="16" t="n">
        <x:v>1</x:v>
      </x:c>
      <x:c r="K95" s="15" t="n">
        <x:f>I95*J95</x:f>
        <x:v>50</x:v>
      </x:c>
      <x:c r="L95" s="20" t="str">
        <x:v>Tamil Nadu Generation &amp; Distribution Co. Limited (TANGEDCO)</x:v>
      </x:c>
      <x:c r="M95" s="20" t="str">
        <x:v>District carried from original workbook</x:v>
      </x:c>
      <x:c r="N95" s="20" t="str"/>
      <x:c r="O95" s="20" t="str">
        <x:v>Existing</x:v>
      </x:c>
      <x:c r="P95" s="20" t="str">
        <x:v>No online correction applied because a single district was already provided.</x:v>
      </x:c>
    </x:row>
    <x:row r="96">
      <x:c r="A96" s="14" t="n">
        <x:v>96</x:v>
      </x:c>
      <x:c r="B96" s="14" t="str">
        <x:v>Hydro</x:v>
      </x:c>
      <x:c r="C96" s="14" t="str">
        <x:v>operational</x:v>
      </x:c>
      <x:c r="D96" s="20" t="str">
        <x:v>Kundah I to V Hydroelectric Power Project</x:v>
      </x:c>
      <x:c r="E96" s="14" t="str">
        <x:v>Tamil Nadu</x:v>
      </x:c>
      <x:c r="F96" s="14" t="str">
        <x:v>Nilgiris</x:v>
      </x:c>
      <x:c r="G96" s="14" t="str">
        <x:v>Nilgiris</x:v>
      </x:c>
      <x:c r="H96" s="14" t="str">
        <x:v>1964-10-30</x:v>
      </x:c>
      <x:c r="I96" s="15" t="n">
        <x:v>20</x:v>
      </x:c>
      <x:c r="J96" s="16" t="n">
        <x:v>1</x:v>
      </x:c>
      <x:c r="K96" s="15" t="n">
        <x:f>I96*J96</x:f>
        <x:v>20</x:v>
      </x:c>
      <x:c r="L96" s="20" t="str">
        <x:v>Tamil Nadu Generation &amp; Distribution Co. Limited (TANGEDCO)</x:v>
      </x:c>
      <x:c r="M96" s="20" t="str">
        <x:v>District carried from original workbook</x:v>
      </x:c>
      <x:c r="N96" s="20" t="str"/>
      <x:c r="O96" s="20" t="str">
        <x:v>Existing</x:v>
      </x:c>
      <x:c r="P96" s="20" t="str">
        <x:v>No online correction applied because a single district was already provided.</x:v>
      </x:c>
    </x:row>
    <x:row r="97">
      <x:c r="A97" s="14" t="n">
        <x:v>97</x:v>
      </x:c>
      <x:c r="B97" s="14" t="str">
        <x:v>Hydro</x:v>
      </x:c>
      <x:c r="C97" s="14" t="str">
        <x:v>operational</x:v>
      </x:c>
      <x:c r="D97" s="20" t="str">
        <x:v>Kundah I to V Hydroelectric Power Project</x:v>
      </x:c>
      <x:c r="E97" s="14" t="str">
        <x:v>Tamil Nadu</x:v>
      </x:c>
      <x:c r="F97" s="14" t="str">
        <x:v>Nilgiris</x:v>
      </x:c>
      <x:c r="G97" s="14" t="str">
        <x:v>Nilgiris</x:v>
      </x:c>
      <x:c r="H97" s="14" t="str">
        <x:v>1989-12-06</x:v>
      </x:c>
      <x:c r="I97" s="15" t="n">
        <x:v>20</x:v>
      </x:c>
      <x:c r="J97" s="16" t="n">
        <x:v>1</x:v>
      </x:c>
      <x:c r="K97" s="15" t="n">
        <x:f>I97*J97</x:f>
        <x:v>20</x:v>
      </x:c>
      <x:c r="L97" s="20" t="str">
        <x:v>Tamil Nadu Generation &amp; Distribution Co. Limited (TANGEDCO)</x:v>
      </x:c>
      <x:c r="M97" s="20" t="str">
        <x:v>District carried from original workbook</x:v>
      </x:c>
      <x:c r="N97" s="20" t="str"/>
      <x:c r="O97" s="20" t="str">
        <x:v>Existing</x:v>
      </x:c>
      <x:c r="P97" s="20" t="str">
        <x:v>No online correction applied because a single district was already provided.</x:v>
      </x:c>
    </x:row>
    <x:row r="98">
      <x:c r="A98" s="14" t="n">
        <x:v>98</x:v>
      </x:c>
      <x:c r="B98" s="14" t="str">
        <x:v>Hydro</x:v>
      </x:c>
      <x:c r="C98" s="14" t="str">
        <x:v>pipeline</x:v>
      </x:c>
      <x:c r="D98" s="20" t="str">
        <x:v>Kundah Pumped Storage Phase-I, II &amp; III</x:v>
      </x:c>
      <x:c r="E98" s="14" t="str">
        <x:v>Tamil Nadu</x:v>
      </x:c>
      <x:c r="F98" s="14" t="str">
        <x:v>Nilgiris</x:v>
      </x:c>
      <x:c r="G98" s="14" t="str">
        <x:v>Nilgiris</x:v>
      </x:c>
      <x:c r="H98" s="14" t="str">
        <x:v>2027-02-01</x:v>
      </x:c>
      <x:c r="I98" s="15" t="n">
        <x:v>125</x:v>
      </x:c>
      <x:c r="J98" s="16" t="n">
        <x:v>1</x:v>
      </x:c>
      <x:c r="K98" s="15" t="n">
        <x:f>I98*J98</x:f>
        <x:v>125</x:v>
      </x:c>
      <x:c r="L98" s="20" t="str">
        <x:v>Tamil Nadu Generation &amp; Distribution Co. Limited (TANGEDCO)</x:v>
      </x:c>
      <x:c r="M98" s="20" t="str">
        <x:v>District carried from original workbook</x:v>
      </x:c>
      <x:c r="N98" s="20" t="str"/>
      <x:c r="O98" s="20" t="str">
        <x:v>Existing</x:v>
      </x:c>
      <x:c r="P98" s="20" t="str">
        <x:v>No online correction applied because a single district was already provided.</x:v>
      </x:c>
    </x:row>
    <x:row r="99">
      <x:c r="A99" s="14" t="n">
        <x:v>99</x:v>
      </x:c>
      <x:c r="B99" s="14" t="str">
        <x:v>Hydro</x:v>
      </x:c>
      <x:c r="C99" s="14" t="str">
        <x:v>pipeline</x:v>
      </x:c>
      <x:c r="D99" s="20" t="str">
        <x:v>Kundah Pumped Storage Phase-I, II &amp; III</x:v>
      </x:c>
      <x:c r="E99" s="14" t="str">
        <x:v>Tamil Nadu</x:v>
      </x:c>
      <x:c r="F99" s="14" t="str">
        <x:v>Nilgiris</x:v>
      </x:c>
      <x:c r="G99" s="14" t="str">
        <x:v>Nilgiris</x:v>
      </x:c>
      <x:c r="H99" s="14" t="str">
        <x:v>2027-02-01</x:v>
      </x:c>
      <x:c r="I99" s="15" t="n">
        <x:v>125</x:v>
      </x:c>
      <x:c r="J99" s="16" t="n">
        <x:v>1</x:v>
      </x:c>
      <x:c r="K99" s="15" t="n">
        <x:f>I99*J99</x:f>
        <x:v>125</x:v>
      </x:c>
      <x:c r="L99" s="20" t="str">
        <x:v>Tamil Nadu Generation &amp; Distribution Co. Limited (TANGEDCO)</x:v>
      </x:c>
      <x:c r="M99" s="20" t="str">
        <x:v>District carried from original workbook</x:v>
      </x:c>
      <x:c r="N99" s="20" t="str"/>
      <x:c r="O99" s="20" t="str">
        <x:v>Existing</x:v>
      </x:c>
      <x:c r="P99" s="20" t="str">
        <x:v>No online correction applied because a single district was already provided.</x:v>
      </x:c>
    </x:row>
    <x:row r="100">
      <x:c r="A100" s="14" t="n">
        <x:v>100</x:v>
      </x:c>
      <x:c r="B100" s="14" t="str">
        <x:v>Hydro</x:v>
      </x:c>
      <x:c r="C100" s="14" t="str">
        <x:v>pipeline</x:v>
      </x:c>
      <x:c r="D100" s="20" t="str">
        <x:v>Kundah Pumped Storage Phase-I, II &amp; III</x:v>
      </x:c>
      <x:c r="E100" s="14" t="str">
        <x:v>Tamil Nadu</x:v>
      </x:c>
      <x:c r="F100" s="14" t="str">
        <x:v>Nilgiris</x:v>
      </x:c>
      <x:c r="G100" s="14" t="str">
        <x:v>Nilgiris</x:v>
      </x:c>
      <x:c r="H100" s="14" t="str">
        <x:v>2027-02-01</x:v>
      </x:c>
      <x:c r="I100" s="15" t="n">
        <x:v>125</x:v>
      </x:c>
      <x:c r="J100" s="16" t="n">
        <x:v>1</x:v>
      </x:c>
      <x:c r="K100" s="15" t="n">
        <x:f>I100*J100</x:f>
        <x:v>125</x:v>
      </x:c>
      <x:c r="L100" s="20" t="str">
        <x:v>Tamil Nadu Generation &amp; Distribution Co. Limited (TANGEDCO)</x:v>
      </x:c>
      <x:c r="M100" s="20" t="str">
        <x:v>District carried from original workbook</x:v>
      </x:c>
      <x:c r="N100" s="20" t="str"/>
      <x:c r="O100" s="20" t="str">
        <x:v>Existing</x:v>
      </x:c>
      <x:c r="P100" s="20" t="str">
        <x:v>No online correction applied because a single district was already provided.</x:v>
      </x:c>
    </x:row>
    <x:row r="101">
      <x:c r="A101" s="14" t="n">
        <x:v>101</x:v>
      </x:c>
      <x:c r="B101" s="14" t="str">
        <x:v>Hydro</x:v>
      </x:c>
      <x:c r="C101" s="14" t="str">
        <x:v>pipeline</x:v>
      </x:c>
      <x:c r="D101" s="20" t="str">
        <x:v>Kundah Pumped Storage Phase-I, II &amp; III</x:v>
      </x:c>
      <x:c r="E101" s="14" t="str">
        <x:v>Tamil Nadu</x:v>
      </x:c>
      <x:c r="F101" s="14" t="str">
        <x:v>Nilgiris</x:v>
      </x:c>
      <x:c r="G101" s="14" t="str">
        <x:v>Nilgiris</x:v>
      </x:c>
      <x:c r="H101" s="14" t="str">
        <x:v>2027-02-01</x:v>
      </x:c>
      <x:c r="I101" s="15" t="n">
        <x:v>125</x:v>
      </x:c>
      <x:c r="J101" s="16" t="n">
        <x:v>1</x:v>
      </x:c>
      <x:c r="K101" s="15" t="n">
        <x:f>I101*J101</x:f>
        <x:v>125</x:v>
      </x:c>
      <x:c r="L101" s="20" t="str">
        <x:v>Tamil Nadu Generation &amp; Distribution Co. Limited (TANGEDCO)</x:v>
      </x:c>
      <x:c r="M101" s="20" t="str">
        <x:v>District carried from original workbook</x:v>
      </x:c>
      <x:c r="N101" s="20" t="str"/>
      <x:c r="O101" s="20" t="str">
        <x:v>Existing</x:v>
      </x:c>
      <x:c r="P101" s="20" t="str">
        <x:v>No online correction applied because a single district was already provided.</x:v>
      </x:c>
    </x:row>
    <x:row r="102">
      <x:c r="A102" s="14" t="n">
        <x:v>102</x:v>
      </x:c>
      <x:c r="B102" s="14" t="str">
        <x:v>Hydro</x:v>
      </x:c>
      <x:c r="C102" s="14" t="str">
        <x:v>operational</x:v>
      </x:c>
      <x:c r="D102" s="20" t="str">
        <x:v>Lower Mettur I to IV Hydroelectric Power Project</x:v>
      </x:c>
      <x:c r="E102" s="14" t="str">
        <x:v>Tamil Nadu</x:v>
      </x:c>
      <x:c r="F102" s="14" t="str">
        <x:v>Salem</x:v>
      </x:c>
      <x:c r="G102" s="14" t="str">
        <x:v>Salem</x:v>
      </x:c>
      <x:c r="H102" s="14" t="str">
        <x:v>1988-08-12</x:v>
      </x:c>
      <x:c r="I102" s="15" t="n">
        <x:v>15</x:v>
      </x:c>
      <x:c r="J102" s="16" t="n">
        <x:v>1</x:v>
      </x:c>
      <x:c r="K102" s="15" t="n">
        <x:f>I102*J102</x:f>
        <x:v>15</x:v>
      </x:c>
      <x:c r="L102" s="20" t="str">
        <x:v>Tamil Nadu Generation &amp; Distribution Co. Limited (TANGEDCO)</x:v>
      </x:c>
      <x:c r="M102" s="20" t="str">
        <x:v>District carried from original workbook</x:v>
      </x:c>
      <x:c r="N102" s="20" t="str"/>
      <x:c r="O102" s="20" t="str">
        <x:v>Existing</x:v>
      </x:c>
      <x:c r="P102" s="20" t="str">
        <x:v>No online correction applied because a single district was already provided.</x:v>
      </x:c>
    </x:row>
    <x:row r="103">
      <x:c r="A103" s="14" t="n">
        <x:v>103</x:v>
      </x:c>
      <x:c r="B103" s="14" t="str">
        <x:v>Hydro</x:v>
      </x:c>
      <x:c r="C103" s="14" t="str">
        <x:v>operational</x:v>
      </x:c>
      <x:c r="D103" s="20" t="str">
        <x:v>Lower Mettur I to IV Hydroelectric Power Project</x:v>
      </x:c>
      <x:c r="E103" s="14" t="str">
        <x:v>Tamil Nadu</x:v>
      </x:c>
      <x:c r="F103" s="14" t="str">
        <x:v>Salem</x:v>
      </x:c>
      <x:c r="G103" s="14" t="str">
        <x:v>Salem</x:v>
      </x:c>
      <x:c r="H103" s="14" t="str">
        <x:v>1988-08-07</x:v>
      </x:c>
      <x:c r="I103" s="15" t="n">
        <x:v>15</x:v>
      </x:c>
      <x:c r="J103" s="16" t="n">
        <x:v>1</x:v>
      </x:c>
      <x:c r="K103" s="15" t="n">
        <x:f>I103*J103</x:f>
        <x:v>15</x:v>
      </x:c>
      <x:c r="L103" s="20" t="str">
        <x:v>Tamil Nadu Generation &amp; Distribution Co. Limited (TANGEDCO)</x:v>
      </x:c>
      <x:c r="M103" s="20" t="str">
        <x:v>District carried from original workbook</x:v>
      </x:c>
      <x:c r="N103" s="20" t="str"/>
      <x:c r="O103" s="20" t="str">
        <x:v>Existing</x:v>
      </x:c>
      <x:c r="P103" s="20" t="str">
        <x:v>No online correction applied because a single district was already provided.</x:v>
      </x:c>
    </x:row>
    <x:row r="104">
      <x:c r="A104" s="14" t="n">
        <x:v>104</x:v>
      </x:c>
      <x:c r="B104" s="14" t="str">
        <x:v>Hydro</x:v>
      </x:c>
      <x:c r="C104" s="14" t="str">
        <x:v>operational</x:v>
      </x:c>
      <x:c r="D104" s="20" t="str">
        <x:v>Lower Mettur I to IV Hydroelectric Power Project</x:v>
      </x:c>
      <x:c r="E104" s="14" t="str">
        <x:v>Tamil Nadu</x:v>
      </x:c>
      <x:c r="F104" s="14" t="str">
        <x:v>Salem</x:v>
      </x:c>
      <x:c r="G104" s="14" t="str">
        <x:v>Salem</x:v>
      </x:c>
      <x:c r="H104" s="14" t="str">
        <x:v>1988-08-26</x:v>
      </x:c>
      <x:c r="I104" s="15" t="n">
        <x:v>15</x:v>
      </x:c>
      <x:c r="J104" s="16" t="n">
        <x:v>1</x:v>
      </x:c>
      <x:c r="K104" s="15" t="n">
        <x:f>I104*J104</x:f>
        <x:v>15</x:v>
      </x:c>
      <x:c r="L104" s="20" t="str">
        <x:v>Tamil Nadu Generation &amp; Distribution Co. Limited (TANGEDCO)</x:v>
      </x:c>
      <x:c r="M104" s="20" t="str">
        <x:v>District carried from original workbook</x:v>
      </x:c>
      <x:c r="N104" s="20" t="str"/>
      <x:c r="O104" s="20" t="str">
        <x:v>Existing</x:v>
      </x:c>
      <x:c r="P104" s="20" t="str">
        <x:v>No online correction applied because a single district was already provided.</x:v>
      </x:c>
    </x:row>
    <x:row r="105">
      <x:c r="A105" s="14" t="n">
        <x:v>105</x:v>
      </x:c>
      <x:c r="B105" s="14" t="str">
        <x:v>Hydro</x:v>
      </x:c>
      <x:c r="C105" s="14" t="str">
        <x:v>operational</x:v>
      </x:c>
      <x:c r="D105" s="20" t="str">
        <x:v>Lower Mettur I to IV Hydroelectric Power Project</x:v>
      </x:c>
      <x:c r="E105" s="14" t="str">
        <x:v>Tamil Nadu</x:v>
      </x:c>
      <x:c r="F105" s="14" t="str">
        <x:v>Salem</x:v>
      </x:c>
      <x:c r="G105" s="14" t="str">
        <x:v>Salem</x:v>
      </x:c>
      <x:c r="H105" s="14" t="str">
        <x:v>1988-08-04</x:v>
      </x:c>
      <x:c r="I105" s="15" t="n">
        <x:v>15</x:v>
      </x:c>
      <x:c r="J105" s="16" t="n">
        <x:v>1</x:v>
      </x:c>
      <x:c r="K105" s="15" t="n">
        <x:f>I105*J105</x:f>
        <x:v>15</x:v>
      </x:c>
      <x:c r="L105" s="20" t="str">
        <x:v>Tamil Nadu Generation &amp; Distribution Co. Limited (TANGEDCO)</x:v>
      </x:c>
      <x:c r="M105" s="20" t="str">
        <x:v>District carried from original workbook</x:v>
      </x:c>
      <x:c r="N105" s="20" t="str"/>
      <x:c r="O105" s="20" t="str">
        <x:v>Existing</x:v>
      </x:c>
      <x:c r="P105" s="20" t="str">
        <x:v>No online correction applied because a single district was already provided.</x:v>
      </x:c>
    </x:row>
    <x:row r="106">
      <x:c r="A106" s="14" t="n">
        <x:v>106</x:v>
      </x:c>
      <x:c r="B106" s="14" t="str">
        <x:v>Hydro</x:v>
      </x:c>
      <x:c r="C106" s="14" t="str">
        <x:v>operational</x:v>
      </x:c>
      <x:c r="D106" s="20" t="str">
        <x:v>Lower Mettur I to IV Hydroelectric Power Project</x:v>
      </x:c>
      <x:c r="E106" s="14" t="str">
        <x:v>Tamil Nadu</x:v>
      </x:c>
      <x:c r="F106" s="14" t="str">
        <x:v>Salem</x:v>
      </x:c>
      <x:c r="G106" s="14" t="str">
        <x:v>Salem</x:v>
      </x:c>
      <x:c r="H106" s="14" t="str">
        <x:v>1988-01-04</x:v>
      </x:c>
      <x:c r="I106" s="15" t="n">
        <x:v>15</x:v>
      </x:c>
      <x:c r="J106" s="16" t="n">
        <x:v>1</x:v>
      </x:c>
      <x:c r="K106" s="15" t="n">
        <x:f>I106*J106</x:f>
        <x:v>15</x:v>
      </x:c>
      <x:c r="L106" s="20" t="str">
        <x:v>Tamil Nadu Generation &amp; Distribution Co. Limited (TANGEDCO)</x:v>
      </x:c>
      <x:c r="M106" s="20" t="str">
        <x:v>District carried from original workbook</x:v>
      </x:c>
      <x:c r="N106" s="20" t="str"/>
      <x:c r="O106" s="20" t="str">
        <x:v>Existing</x:v>
      </x:c>
      <x:c r="P106" s="20" t="str">
        <x:v>No online correction applied because a single district was already provided.</x:v>
      </x:c>
    </x:row>
    <x:row r="107">
      <x:c r="A107" s="14" t="n">
        <x:v>107</x:v>
      </x:c>
      <x:c r="B107" s="14" t="str">
        <x:v>Hydro</x:v>
      </x:c>
      <x:c r="C107" s="14" t="str">
        <x:v>operational</x:v>
      </x:c>
      <x:c r="D107" s="20" t="str">
        <x:v>Lower Mettur I to IV Hydroelectric Power Project</x:v>
      </x:c>
      <x:c r="E107" s="14" t="str">
        <x:v>Tamil Nadu</x:v>
      </x:c>
      <x:c r="F107" s="14" t="str">
        <x:v>Salem</x:v>
      </x:c>
      <x:c r="G107" s="14" t="str">
        <x:v>Salem</x:v>
      </x:c>
      <x:c r="H107" s="14" t="str">
        <x:v>1988-09-30</x:v>
      </x:c>
      <x:c r="I107" s="15" t="n">
        <x:v>15</x:v>
      </x:c>
      <x:c r="J107" s="16" t="n">
        <x:v>1</x:v>
      </x:c>
      <x:c r="K107" s="15" t="n">
        <x:f>I107*J107</x:f>
        <x:v>15</x:v>
      </x:c>
      <x:c r="L107" s="20" t="str">
        <x:v>Tamil Nadu Generation &amp; Distribution Co. Limited (TANGEDCO)</x:v>
      </x:c>
      <x:c r="M107" s="20" t="str">
        <x:v>District carried from original workbook</x:v>
      </x:c>
      <x:c r="N107" s="20" t="str"/>
      <x:c r="O107" s="20" t="str">
        <x:v>Existing</x:v>
      </x:c>
      <x:c r="P107" s="20" t="str">
        <x:v>No online correction applied because a single district was already provided.</x:v>
      </x:c>
    </x:row>
    <x:row r="108">
      <x:c r="A108" s="14" t="n">
        <x:v>108</x:v>
      </x:c>
      <x:c r="B108" s="14" t="str">
        <x:v>Hydro</x:v>
      </x:c>
      <x:c r="C108" s="14" t="str">
        <x:v>operational</x:v>
      </x:c>
      <x:c r="D108" s="20" t="str">
        <x:v>Lower Mettur I to IV Hydroelectric Power Project</x:v>
      </x:c>
      <x:c r="E108" s="14" t="str">
        <x:v>Tamil Nadu</x:v>
      </x:c>
      <x:c r="F108" s="14" t="str">
        <x:v>Salem</x:v>
      </x:c>
      <x:c r="G108" s="14" t="str">
        <x:v>Salem</x:v>
      </x:c>
      <x:c r="H108" s="14" t="str">
        <x:v>1989-09-18</x:v>
      </x:c>
      <x:c r="I108" s="15" t="n">
        <x:v>15</x:v>
      </x:c>
      <x:c r="J108" s="16" t="n">
        <x:v>1</x:v>
      </x:c>
      <x:c r="K108" s="15" t="n">
        <x:f>I108*J108</x:f>
        <x:v>15</x:v>
      </x:c>
      <x:c r="L108" s="20" t="str">
        <x:v>Tamil Nadu Generation &amp; Distribution Co. Limited (TANGEDCO)</x:v>
      </x:c>
      <x:c r="M108" s="20" t="str">
        <x:v>District carried from original workbook</x:v>
      </x:c>
      <x:c r="N108" s="20" t="str"/>
      <x:c r="O108" s="20" t="str">
        <x:v>Existing</x:v>
      </x:c>
      <x:c r="P108" s="20" t="str">
        <x:v>No online correction applied because a single district was already provided.</x:v>
      </x:c>
    </x:row>
    <x:row r="109">
      <x:c r="A109" s="14" t="n">
        <x:v>109</x:v>
      </x:c>
      <x:c r="B109" s="14" t="str">
        <x:v>Hydro</x:v>
      </x:c>
      <x:c r="C109" s="14" t="str">
        <x:v>operational</x:v>
      </x:c>
      <x:c r="D109" s="20" t="str">
        <x:v>Lower Mettur I to IV Hydroelectric Power Project</x:v>
      </x:c>
      <x:c r="E109" s="14" t="str">
        <x:v>Tamil Nadu</x:v>
      </x:c>
      <x:c r="F109" s="14" t="str">
        <x:v>Salem</x:v>
      </x:c>
      <x:c r="G109" s="14" t="str">
        <x:v>Salem</x:v>
      </x:c>
      <x:c r="H109" s="14" t="str">
        <x:v>1988-12-28</x:v>
      </x:c>
      <x:c r="I109" s="15" t="n">
        <x:v>15</x:v>
      </x:c>
      <x:c r="J109" s="16" t="n">
        <x:v>1</x:v>
      </x:c>
      <x:c r="K109" s="15" t="n">
        <x:f>I109*J109</x:f>
        <x:v>15</x:v>
      </x:c>
      <x:c r="L109" s="20" t="str">
        <x:v>Tamil Nadu Generation &amp; Distribution Co. Limited (TANGEDCO)</x:v>
      </x:c>
      <x:c r="M109" s="20" t="str">
        <x:v>District carried from original workbook</x:v>
      </x:c>
      <x:c r="N109" s="20" t="str"/>
      <x:c r="O109" s="20" t="str">
        <x:v>Existing</x:v>
      </x:c>
      <x:c r="P109" s="20" t="str">
        <x:v>No online correction applied because a single district was already provided.</x:v>
      </x:c>
    </x:row>
    <x:row r="110">
      <x:c r="A110" s="14" t="n">
        <x:v>110</x:v>
      </x:c>
      <x:c r="B110" s="14" t="str">
        <x:v>Hydro</x:v>
      </x:c>
      <x:c r="C110" s="14" t="str">
        <x:v>operational</x:v>
      </x:c>
      <x:c r="D110" s="20" t="str">
        <x:v>Mettur Dam Hydroelectric Power Project</x:v>
      </x:c>
      <x:c r="E110" s="14" t="str">
        <x:v>Tamil Nadu</x:v>
      </x:c>
      <x:c r="F110" s="14" t="str">
        <x:v>Salem</x:v>
      </x:c>
      <x:c r="G110" s="14" t="str">
        <x:v>Salem</x:v>
      </x:c>
      <x:c r="H110" s="14" t="str">
        <x:v>1937-06-13</x:v>
      </x:c>
      <x:c r="I110" s="15" t="n">
        <x:v>12.5</x:v>
      </x:c>
      <x:c r="J110" s="16" t="n">
        <x:v>1</x:v>
      </x:c>
      <x:c r="K110" s="15" t="n">
        <x:f>I110*J110</x:f>
        <x:v>12.5</x:v>
      </x:c>
      <x:c r="L110" s="20" t="str">
        <x:v>Tamil Nadu Generation &amp; Distribution Co. Limited (TANGEDCO)</x:v>
      </x:c>
      <x:c r="M110" s="20" t="str">
        <x:v>District carried from original workbook</x:v>
      </x:c>
      <x:c r="N110" s="20" t="str"/>
      <x:c r="O110" s="20" t="str">
        <x:v>Existing</x:v>
      </x:c>
      <x:c r="P110" s="20" t="str">
        <x:v>No online correction applied because a single district was already provided.</x:v>
      </x:c>
    </x:row>
    <x:row r="111">
      <x:c r="A111" s="14" t="n">
        <x:v>111</x:v>
      </x:c>
      <x:c r="B111" s="14" t="str">
        <x:v>Hydro</x:v>
      </x:c>
      <x:c r="C111" s="14" t="str">
        <x:v>operational</x:v>
      </x:c>
      <x:c r="D111" s="20" t="str">
        <x:v>Mettur Dam Hydroelectric Power Project</x:v>
      </x:c>
      <x:c r="E111" s="14" t="str">
        <x:v>Tamil Nadu</x:v>
      </x:c>
      <x:c r="F111" s="14" t="str">
        <x:v>Salem</x:v>
      </x:c>
      <x:c r="G111" s="14" t="str">
        <x:v>Salem</x:v>
      </x:c>
      <x:c r="H111" s="14" t="str">
        <x:v>1937-08-21</x:v>
      </x:c>
      <x:c r="I111" s="15" t="n">
        <x:v>12.5</x:v>
      </x:c>
      <x:c r="J111" s="16" t="n">
        <x:v>1</x:v>
      </x:c>
      <x:c r="K111" s="15" t="n">
        <x:f>I111*J111</x:f>
        <x:v>12.5</x:v>
      </x:c>
      <x:c r="L111" s="20" t="str">
        <x:v>Tamil Nadu Generation &amp; Distribution Co. Limited (TANGEDCO)</x:v>
      </x:c>
      <x:c r="M111" s="20" t="str">
        <x:v>District carried from original workbook</x:v>
      </x:c>
      <x:c r="N111" s="20" t="str"/>
      <x:c r="O111" s="20" t="str">
        <x:v>Existing</x:v>
      </x:c>
      <x:c r="P111" s="20" t="str">
        <x:v>No online correction applied because a single district was already provided.</x:v>
      </x:c>
    </x:row>
    <x:row r="112">
      <x:c r="A112" s="14" t="n">
        <x:v>112</x:v>
      </x:c>
      <x:c r="B112" s="14" t="str">
        <x:v>Hydro</x:v>
      </x:c>
      <x:c r="C112" s="14" t="str">
        <x:v>operational</x:v>
      </x:c>
      <x:c r="D112" s="20" t="str">
        <x:v>Mettur Dam Hydroelectric Power Project</x:v>
      </x:c>
      <x:c r="E112" s="14" t="str">
        <x:v>Tamil Nadu</x:v>
      </x:c>
      <x:c r="F112" s="14" t="str">
        <x:v>Salem</x:v>
      </x:c>
      <x:c r="G112" s="14" t="str">
        <x:v>Salem</x:v>
      </x:c>
      <x:c r="H112" s="14" t="str">
        <x:v>1938-01-21</x:v>
      </x:c>
      <x:c r="I112" s="15" t="n">
        <x:v>12.5</x:v>
      </x:c>
      <x:c r="J112" s="16" t="n">
        <x:v>1</x:v>
      </x:c>
      <x:c r="K112" s="15" t="n">
        <x:f>I112*J112</x:f>
        <x:v>12.5</x:v>
      </x:c>
      <x:c r="L112" s="20" t="str">
        <x:v>Tamil Nadu Generation &amp; Distribution Co. Limited (TANGEDCO)</x:v>
      </x:c>
      <x:c r="M112" s="20" t="str">
        <x:v>District carried from original workbook</x:v>
      </x:c>
      <x:c r="N112" s="20" t="str"/>
      <x:c r="O112" s="20" t="str">
        <x:v>Existing</x:v>
      </x:c>
      <x:c r="P112" s="20" t="str">
        <x:v>No online correction applied because a single district was already provided.</x:v>
      </x:c>
    </x:row>
    <x:row r="113">
      <x:c r="A113" s="14" t="n">
        <x:v>113</x:v>
      </x:c>
      <x:c r="B113" s="14" t="str">
        <x:v>Hydro</x:v>
      </x:c>
      <x:c r="C113" s="14" t="str">
        <x:v>operational</x:v>
      </x:c>
      <x:c r="D113" s="20" t="str">
        <x:v>Mettur Dam Hydroelectric Power Project</x:v>
      </x:c>
      <x:c r="E113" s="14" t="str">
        <x:v>Tamil Nadu</x:v>
      </x:c>
      <x:c r="F113" s="14" t="str">
        <x:v>Salem</x:v>
      </x:c>
      <x:c r="G113" s="14" t="str">
        <x:v>Salem</x:v>
      </x:c>
      <x:c r="H113" s="14" t="str">
        <x:v>1946-10-20</x:v>
      </x:c>
      <x:c r="I113" s="15" t="n">
        <x:v>12.5</x:v>
      </x:c>
      <x:c r="J113" s="16" t="n">
        <x:v>1</x:v>
      </x:c>
      <x:c r="K113" s="15" t="n">
        <x:f>I113*J113</x:f>
        <x:v>12.5</x:v>
      </x:c>
      <x:c r="L113" s="20" t="str">
        <x:v>Tamil Nadu Generation &amp; Distribution Co. Limited (TANGEDCO)</x:v>
      </x:c>
      <x:c r="M113" s="20" t="str">
        <x:v>District carried from original workbook</x:v>
      </x:c>
      <x:c r="N113" s="20" t="str"/>
      <x:c r="O113" s="20" t="str">
        <x:v>Existing</x:v>
      </x:c>
      <x:c r="P113" s="20" t="str">
        <x:v>No online correction applied because a single district was already provided.</x:v>
      </x:c>
    </x:row>
    <x:row r="114">
      <x:c r="A114" s="14" t="n">
        <x:v>114</x:v>
      </x:c>
      <x:c r="B114" s="14" t="str">
        <x:v>Hydro</x:v>
      </x:c>
      <x:c r="C114" s="14" t="str">
        <x:v>operational</x:v>
      </x:c>
      <x:c r="D114" s="20" t="str">
        <x:v>Mettur Tunnel</x:v>
      </x:c>
      <x:c r="E114" s="14" t="str">
        <x:v>Tamil Nadu</x:v>
      </x:c>
      <x:c r="F114" s="14" t="str">
        <x:v>Salem</x:v>
      </x:c>
      <x:c r="G114" s="14" t="str">
        <x:v>Salem</x:v>
      </x:c>
      <x:c r="H114" s="14" t="str">
        <x:v>1965-08-16</x:v>
      </x:c>
      <x:c r="I114" s="15" t="n">
        <x:v>50</x:v>
      </x:c>
      <x:c r="J114" s="16" t="n">
        <x:v>1</x:v>
      </x:c>
      <x:c r="K114" s="15" t="n">
        <x:f>I114*J114</x:f>
        <x:v>50</x:v>
      </x:c>
      <x:c r="L114" s="20" t="str">
        <x:v>Tamil Nadu Generation &amp; Distribution Co. Limited (TANGEDCO)</x:v>
      </x:c>
      <x:c r="M114" s="20" t="str">
        <x:v>District carried from original workbook</x:v>
      </x:c>
      <x:c r="N114" s="20" t="str"/>
      <x:c r="O114" s="20" t="str">
        <x:v>Existing</x:v>
      </x:c>
      <x:c r="P114" s="20" t="str">
        <x:v>No online correction applied because a single district was already provided.</x:v>
      </x:c>
    </x:row>
    <x:row r="115">
      <x:c r="A115" s="14" t="n">
        <x:v>115</x:v>
      </x:c>
      <x:c r="B115" s="14" t="str">
        <x:v>Hydro</x:v>
      </x:c>
      <x:c r="C115" s="14" t="str">
        <x:v>operational</x:v>
      </x:c>
      <x:c r="D115" s="20" t="str">
        <x:v>Mettur Tunnel</x:v>
      </x:c>
      <x:c r="E115" s="14" t="str">
        <x:v>Tamil Nadu</x:v>
      </x:c>
      <x:c r="F115" s="14" t="str">
        <x:v>Salem</x:v>
      </x:c>
      <x:c r="G115" s="14" t="str">
        <x:v>Salem</x:v>
      </x:c>
      <x:c r="H115" s="14" t="str">
        <x:v>1966-07-21</x:v>
      </x:c>
      <x:c r="I115" s="15" t="n">
        <x:v>50</x:v>
      </x:c>
      <x:c r="J115" s="16" t="n">
        <x:v>1</x:v>
      </x:c>
      <x:c r="K115" s="15" t="n">
        <x:f>I115*J115</x:f>
        <x:v>50</x:v>
      </x:c>
      <x:c r="L115" s="20" t="str">
        <x:v>Tamil Nadu Generation &amp; Distribution Co. Limited (TANGEDCO)</x:v>
      </x:c>
      <x:c r="M115" s="20" t="str">
        <x:v>District carried from original workbook</x:v>
      </x:c>
      <x:c r="N115" s="20" t="str"/>
      <x:c r="O115" s="20" t="str">
        <x:v>Existing</x:v>
      </x:c>
      <x:c r="P115" s="20" t="str">
        <x:v>No online correction applied because a single district was already provided.</x:v>
      </x:c>
    </x:row>
    <x:row r="116">
      <x:c r="A116" s="14" t="n">
        <x:v>116</x:v>
      </x:c>
      <x:c r="B116" s="14" t="str">
        <x:v>Hydro</x:v>
      </x:c>
      <x:c r="C116" s="14" t="str">
        <x:v>operational</x:v>
      </x:c>
      <x:c r="D116" s="20" t="str">
        <x:v>Mettur Tunnel</x:v>
      </x:c>
      <x:c r="E116" s="14" t="str">
        <x:v>Tamil Nadu</x:v>
      </x:c>
      <x:c r="F116" s="14" t="str">
        <x:v>Salem</x:v>
      </x:c>
      <x:c r="G116" s="14" t="str">
        <x:v>Salem</x:v>
      </x:c>
      <x:c r="H116" s="14" t="str">
        <x:v>1966-07-21</x:v>
      </x:c>
      <x:c r="I116" s="15" t="n">
        <x:v>50</x:v>
      </x:c>
      <x:c r="J116" s="16" t="n">
        <x:v>1</x:v>
      </x:c>
      <x:c r="K116" s="15" t="n">
        <x:f>I116*J116</x:f>
        <x:v>50</x:v>
      </x:c>
      <x:c r="L116" s="20" t="str">
        <x:v>Tamil Nadu Generation &amp; Distribution Co. Limited (TANGEDCO)</x:v>
      </x:c>
      <x:c r="M116" s="20" t="str">
        <x:v>District carried from original workbook</x:v>
      </x:c>
      <x:c r="N116" s="20" t="str"/>
      <x:c r="O116" s="20" t="str">
        <x:v>Existing</x:v>
      </x:c>
      <x:c r="P116" s="20" t="str">
        <x:v>No online correction applied because a single district was already provided.</x:v>
      </x:c>
    </x:row>
    <x:row r="117">
      <x:c r="A117" s="14" t="n">
        <x:v>117</x:v>
      </x:c>
      <x:c r="B117" s="14" t="str">
        <x:v>Hydro</x:v>
      </x:c>
      <x:c r="C117" s="14" t="str">
        <x:v>operational</x:v>
      </x:c>
      <x:c r="D117" s="20" t="str">
        <x:v>Mettur Tunnel</x:v>
      </x:c>
      <x:c r="E117" s="14" t="str">
        <x:v>Tamil Nadu</x:v>
      </x:c>
      <x:c r="F117" s="14" t="str">
        <x:v>Salem</x:v>
      </x:c>
      <x:c r="G117" s="14" t="str">
        <x:v>Salem</x:v>
      </x:c>
      <x:c r="H117" s="14" t="str">
        <x:v>1966-07-31</x:v>
      </x:c>
      <x:c r="I117" s="15" t="n">
        <x:v>50</x:v>
      </x:c>
      <x:c r="J117" s="16" t="n">
        <x:v>1</x:v>
      </x:c>
      <x:c r="K117" s="15" t="n">
        <x:f>I117*J117</x:f>
        <x:v>50</x:v>
      </x:c>
      <x:c r="L117" s="20" t="str">
        <x:v>Tamil Nadu Generation &amp; Distribution Co. Limited (TANGEDCO)</x:v>
      </x:c>
      <x:c r="M117" s="20" t="str">
        <x:v>District carried from original workbook</x:v>
      </x:c>
      <x:c r="N117" s="20" t="str"/>
      <x:c r="O117" s="20" t="str">
        <x:v>Existing</x:v>
      </x:c>
      <x:c r="P117" s="20" t="str">
        <x:v>No online correction applied because a single district was already provided.</x:v>
      </x:c>
    </x:row>
    <x:row r="118">
      <x:c r="A118" s="14" t="n">
        <x:v>118</x:v>
      </x:c>
      <x:c r="B118" s="14" t="str">
        <x:v>Hydro</x:v>
      </x:c>
      <x:c r="C118" s="14" t="str">
        <x:v>operational</x:v>
      </x:c>
      <x:c r="D118" s="20" t="str">
        <x:v>Moyar Power House</x:v>
      </x:c>
      <x:c r="E118" s="14" t="str">
        <x:v>Tamil Nadu</x:v>
      </x:c>
      <x:c r="F118" s="14" t="str">
        <x:v>Nilgiris</x:v>
      </x:c>
      <x:c r="G118" s="14" t="str">
        <x:v>Nilgiris</x:v>
      </x:c>
      <x:c r="H118" s="14" t="str">
        <x:v>1952-04-10</x:v>
      </x:c>
      <x:c r="I118" s="15" t="n">
        <x:v>14</x:v>
      </x:c>
      <x:c r="J118" s="16" t="n">
        <x:v>1</x:v>
      </x:c>
      <x:c r="K118" s="15" t="n">
        <x:f>I118*J118</x:f>
        <x:v>14</x:v>
      </x:c>
      <x:c r="L118" s="20" t="str">
        <x:v>Tamil Nadu Generation &amp; Distribution Co. Limited (TANGEDCO)</x:v>
      </x:c>
      <x:c r="M118" s="20" t="str">
        <x:v>District carried from original workbook</x:v>
      </x:c>
      <x:c r="N118" s="20" t="str"/>
      <x:c r="O118" s="20" t="str">
        <x:v>Existing</x:v>
      </x:c>
      <x:c r="P118" s="20" t="str">
        <x:v>No online correction applied because a single district was already provided.</x:v>
      </x:c>
    </x:row>
    <x:row r="119">
      <x:c r="A119" s="14" t="n">
        <x:v>119</x:v>
      </x:c>
      <x:c r="B119" s="14" t="str">
        <x:v>Hydro</x:v>
      </x:c>
      <x:c r="C119" s="14" t="str">
        <x:v>operational</x:v>
      </x:c>
      <x:c r="D119" s="20" t="str">
        <x:v>Moyar Power House</x:v>
      </x:c>
      <x:c r="E119" s="14" t="str">
        <x:v>Tamil Nadu</x:v>
      </x:c>
      <x:c r="F119" s="14" t="str">
        <x:v>Nilgiris</x:v>
      </x:c>
      <x:c r="G119" s="14" t="str">
        <x:v>Nilgiris</x:v>
      </x:c>
      <x:c r="H119" s="14" t="str">
        <x:v>1952-09-19</x:v>
      </x:c>
      <x:c r="I119" s="15" t="n">
        <x:v>14</x:v>
      </x:c>
      <x:c r="J119" s="16" t="n">
        <x:v>1</x:v>
      </x:c>
      <x:c r="K119" s="15" t="n">
        <x:f>I119*J119</x:f>
        <x:v>14</x:v>
      </x:c>
      <x:c r="L119" s="20" t="str">
        <x:v>Tamil Nadu Generation &amp; Distribution Co. Limited (TANGEDCO)</x:v>
      </x:c>
      <x:c r="M119" s="20" t="str">
        <x:v>District carried from original workbook</x:v>
      </x:c>
      <x:c r="N119" s="20" t="str"/>
      <x:c r="O119" s="20" t="str">
        <x:v>Existing</x:v>
      </x:c>
      <x:c r="P119" s="20" t="str">
        <x:v>No online correction applied because a single district was already provided.</x:v>
      </x:c>
    </x:row>
    <x:row r="120">
      <x:c r="A120" s="14" t="n">
        <x:v>120</x:v>
      </x:c>
      <x:c r="B120" s="14" t="str">
        <x:v>Hydro</x:v>
      </x:c>
      <x:c r="C120" s="14" t="str">
        <x:v>operational</x:v>
      </x:c>
      <x:c r="D120" s="20" t="str">
        <x:v>Moyar Power House</x:v>
      </x:c>
      <x:c r="E120" s="14" t="str">
        <x:v>Tamil Nadu</x:v>
      </x:c>
      <x:c r="F120" s="14" t="str">
        <x:v>Nilgiris</x:v>
      </x:c>
      <x:c r="G120" s="14" t="str">
        <x:v>Nilgiris</x:v>
      </x:c>
      <x:c r="H120" s="14" t="str">
        <x:v>1953-01-06</x:v>
      </x:c>
      <x:c r="I120" s="15" t="n">
        <x:v>12</x:v>
      </x:c>
      <x:c r="J120" s="16" t="n">
        <x:v>1</x:v>
      </x:c>
      <x:c r="K120" s="15" t="n">
        <x:f>I120*J120</x:f>
        <x:v>12</x:v>
      </x:c>
      <x:c r="L120" s="20" t="str">
        <x:v>Tamil Nadu Generation &amp; Distribution Co. Limited (TANGEDCO)</x:v>
      </x:c>
      <x:c r="M120" s="20" t="str">
        <x:v>District carried from original workbook</x:v>
      </x:c>
      <x:c r="N120" s="20" t="str"/>
      <x:c r="O120" s="20" t="str">
        <x:v>Existing</x:v>
      </x:c>
      <x:c r="P120" s="20" t="str">
        <x:v>No online correction applied because a single district was already provided.</x:v>
      </x:c>
    </x:row>
    <x:row r="121">
      <x:c r="A121" s="14" t="n">
        <x:v>121</x:v>
      </x:c>
      <x:c r="B121" s="14" t="str">
        <x:v>Hydro</x:v>
      </x:c>
      <x:c r="C121" s="14" t="str">
        <x:v>operational</x:v>
      </x:c>
      <x:c r="D121" s="20" t="str">
        <x:v>Papanasam Hydroelectric Power Project</x:v>
      </x:c>
      <x:c r="E121" s="14" t="str">
        <x:v>Tamil Nadu</x:v>
      </x:c>
      <x:c r="F121" s="14" t="str">
        <x:v>Tirunelveli</x:v>
      </x:c>
      <x:c r="G121" s="14" t="str">
        <x:v>Tirunelveli</x:v>
      </x:c>
      <x:c r="H121" s="14" t="str">
        <x:v>1944-07-08</x:v>
      </x:c>
      <x:c r="I121" s="15" t="n">
        <x:v>8</x:v>
      </x:c>
      <x:c r="J121" s="16" t="n">
        <x:v>1</x:v>
      </x:c>
      <x:c r="K121" s="15" t="n">
        <x:f>I121*J121</x:f>
        <x:v>8</x:v>
      </x:c>
      <x:c r="L121" s="20" t="str">
        <x:v>Tamil Nadu Generation &amp; Distribution Co. Limited (TANGEDCO)</x:v>
      </x:c>
      <x:c r="M121" s="20" t="str">
        <x:v>District carried from original workbook</x:v>
      </x:c>
      <x:c r="N121" s="20" t="str"/>
      <x:c r="O121" s="20" t="str">
        <x:v>Existing</x:v>
      </x:c>
      <x:c r="P121" s="20" t="str">
        <x:v>No online correction applied because a single district was already provided.</x:v>
      </x:c>
    </x:row>
    <x:row r="122">
      <x:c r="A122" s="14" t="n">
        <x:v>122</x:v>
      </x:c>
      <x:c r="B122" s="14" t="str">
        <x:v>Hydro</x:v>
      </x:c>
      <x:c r="C122" s="14" t="str">
        <x:v>operational</x:v>
      </x:c>
      <x:c r="D122" s="20" t="str">
        <x:v>Papanasam Hydroelectric Power Project</x:v>
      </x:c>
      <x:c r="E122" s="14" t="str">
        <x:v>Tamil Nadu</x:v>
      </x:c>
      <x:c r="F122" s="14" t="str">
        <x:v>Tirunelveli</x:v>
      </x:c>
      <x:c r="G122" s="14" t="str">
        <x:v>Tirunelveli</x:v>
      </x:c>
      <x:c r="H122" s="14" t="str">
        <x:v>1944-12-12</x:v>
      </x:c>
      <x:c r="I122" s="15" t="n">
        <x:v>8</x:v>
      </x:c>
      <x:c r="J122" s="16" t="n">
        <x:v>1</x:v>
      </x:c>
      <x:c r="K122" s="15" t="n">
        <x:f>I122*J122</x:f>
        <x:v>8</x:v>
      </x:c>
      <x:c r="L122" s="20" t="str">
        <x:v>Tamil Nadu Generation &amp; Distribution Co. Limited (TANGEDCO)</x:v>
      </x:c>
      <x:c r="M122" s="20" t="str">
        <x:v>District carried from original workbook</x:v>
      </x:c>
      <x:c r="N122" s="20" t="str"/>
      <x:c r="O122" s="20" t="str">
        <x:v>Existing</x:v>
      </x:c>
      <x:c r="P122" s="20" t="str">
        <x:v>No online correction applied because a single district was already provided.</x:v>
      </x:c>
    </x:row>
    <x:row r="123">
      <x:c r="A123" s="14" t="n">
        <x:v>123</x:v>
      </x:c>
      <x:c r="B123" s="14" t="str">
        <x:v>Hydro</x:v>
      </x:c>
      <x:c r="C123" s="14" t="str">
        <x:v>operational</x:v>
      </x:c>
      <x:c r="D123" s="20" t="str">
        <x:v>Papanasam Hydroelectric Power Project</x:v>
      </x:c>
      <x:c r="E123" s="14" t="str">
        <x:v>Tamil Nadu</x:v>
      </x:c>
      <x:c r="F123" s="14" t="str">
        <x:v>Tirunelveli</x:v>
      </x:c>
      <x:c r="G123" s="14" t="str">
        <x:v>Tirunelveli</x:v>
      </x:c>
      <x:c r="H123" s="14" t="str">
        <x:v>1945-06-10</x:v>
      </x:c>
      <x:c r="I123" s="15" t="n">
        <x:v>8</x:v>
      </x:c>
      <x:c r="J123" s="16" t="n">
        <x:v>1</x:v>
      </x:c>
      <x:c r="K123" s="15" t="n">
        <x:f>I123*J123</x:f>
        <x:v>8</x:v>
      </x:c>
      <x:c r="L123" s="20" t="str">
        <x:v>Tamil Nadu Generation &amp; Distribution Co. Limited (TANGEDCO)</x:v>
      </x:c>
      <x:c r="M123" s="20" t="str">
        <x:v>District carried from original workbook</x:v>
      </x:c>
      <x:c r="N123" s="20" t="str"/>
      <x:c r="O123" s="20" t="str">
        <x:v>Existing</x:v>
      </x:c>
      <x:c r="P123" s="20" t="str">
        <x:v>No online correction applied because a single district was already provided.</x:v>
      </x:c>
    </x:row>
    <x:row r="124">
      <x:c r="A124" s="14" t="n">
        <x:v>124</x:v>
      </x:c>
      <x:c r="B124" s="14" t="str">
        <x:v>Hydro</x:v>
      </x:c>
      <x:c r="C124" s="14" t="str">
        <x:v>operational</x:v>
      </x:c>
      <x:c r="D124" s="20" t="str">
        <x:v>Papanasam Hydroelectric Power Project</x:v>
      </x:c>
      <x:c r="E124" s="14" t="str">
        <x:v>Tamil Nadu</x:v>
      </x:c>
      <x:c r="F124" s="14" t="str">
        <x:v>Tirunelveli</x:v>
      </x:c>
      <x:c r="G124" s="14" t="str">
        <x:v>Tirunelveli</x:v>
      </x:c>
      <x:c r="H124" s="14" t="str">
        <x:v>1951-07-08</x:v>
      </x:c>
      <x:c r="I124" s="15" t="n">
        <x:v>8</x:v>
      </x:c>
      <x:c r="J124" s="16" t="n">
        <x:v>1</x:v>
      </x:c>
      <x:c r="K124" s="15" t="n">
        <x:f>I124*J124</x:f>
        <x:v>8</x:v>
      </x:c>
      <x:c r="L124" s="20" t="str">
        <x:v>Tamil Nadu Generation &amp; Distribution Co. Limited (TANGEDCO)</x:v>
      </x:c>
      <x:c r="M124" s="20" t="str">
        <x:v>District carried from original workbook</x:v>
      </x:c>
      <x:c r="N124" s="20" t="str"/>
      <x:c r="O124" s="20" t="str">
        <x:v>Existing</x:v>
      </x:c>
      <x:c r="P124" s="20" t="str">
        <x:v>No online correction applied because a single district was already provided.</x:v>
      </x:c>
    </x:row>
    <x:row r="125">
      <x:c r="A125" s="14" t="n">
        <x:v>125</x:v>
      </x:c>
      <x:c r="B125" s="14" t="str">
        <x:v>Hydro</x:v>
      </x:c>
      <x:c r="C125" s="14" t="str">
        <x:v>operational</x:v>
      </x:c>
      <x:c r="D125" s="20" t="str">
        <x:v>Parson's Valley Hydroelectric Power Project</x:v>
      </x:c>
      <x:c r="E125" s="14" t="str">
        <x:v>Tamil Nadu</x:v>
      </x:c>
      <x:c r="F125" s="14" t="str">
        <x:v>Nilgiris</x:v>
      </x:c>
      <x:c r="G125" s="14" t="str">
        <x:v>Nilgiris</x:v>
      </x:c>
      <x:c r="H125" s="14" t="str">
        <x:v>2000-06-22</x:v>
      </x:c>
      <x:c r="I125" s="15" t="n">
        <x:v>30</x:v>
      </x:c>
      <x:c r="J125" s="16" t="n">
        <x:v>1</x:v>
      </x:c>
      <x:c r="K125" s="15" t="n">
        <x:f>I125*J125</x:f>
        <x:v>30</x:v>
      </x:c>
      <x:c r="L125" s="20" t="str">
        <x:v>Tamil Nadu Generation &amp; Distribution Co. Limited (TANGEDCO)</x:v>
      </x:c>
      <x:c r="M125" s="20" t="str">
        <x:v>District carried from original workbook</x:v>
      </x:c>
      <x:c r="N125" s="20" t="str"/>
      <x:c r="O125" s="20" t="str">
        <x:v>Existing</x:v>
      </x:c>
      <x:c r="P125" s="20" t="str">
        <x:v>No online correction applied because a single district was already provided.</x:v>
      </x:c>
    </x:row>
    <x:row r="126">
      <x:c r="A126" s="14" t="n">
        <x:v>126</x:v>
      </x:c>
      <x:c r="B126" s="14" t="str">
        <x:v>Hydro</x:v>
      </x:c>
      <x:c r="C126" s="14" t="str">
        <x:v>operational</x:v>
      </x:c>
      <x:c r="D126" s="20" t="str">
        <x:v>Periyar Hydroelectric Power Project</x:v>
      </x:c>
      <x:c r="E126" s="14" t="str">
        <x:v>Tamil Nadu</x:v>
      </x:c>
      <x:c r="F126" s="14" t="str">
        <x:v>Theni</x:v>
      </x:c>
      <x:c r="G126" s="14" t="str">
        <x:v>Theni</x:v>
      </x:c>
      <x:c r="H126" s="14" t="str">
        <x:v>1958-10-12</x:v>
      </x:c>
      <x:c r="I126" s="15" t="n">
        <x:v>42</x:v>
      </x:c>
      <x:c r="J126" s="16" t="n">
        <x:v>1</x:v>
      </x:c>
      <x:c r="K126" s="15" t="n">
        <x:f>I126*J126</x:f>
        <x:v>42</x:v>
      </x:c>
      <x:c r="L126" s="20" t="str">
        <x:v>Tamil Nadu Generation &amp; Distribution Co. Limited (TANGEDCO)</x:v>
      </x:c>
      <x:c r="M126" s="20" t="str">
        <x:v>District carried from original workbook</x:v>
      </x:c>
      <x:c r="N126" s="20" t="str"/>
      <x:c r="O126" s="20" t="str">
        <x:v>Existing</x:v>
      </x:c>
      <x:c r="P126" s="20" t="str">
        <x:v>No online correction applied because a single district was already provided.</x:v>
      </x:c>
    </x:row>
    <x:row r="127">
      <x:c r="A127" s="14" t="n">
        <x:v>127</x:v>
      </x:c>
      <x:c r="B127" s="14" t="str">
        <x:v>Hydro</x:v>
      </x:c>
      <x:c r="C127" s="14" t="str">
        <x:v>operational</x:v>
      </x:c>
      <x:c r="D127" s="20" t="str">
        <x:v>Periyar Hydroelectric Power Project</x:v>
      </x:c>
      <x:c r="E127" s="14" t="str">
        <x:v>Tamil Nadu</x:v>
      </x:c>
      <x:c r="F127" s="14" t="str">
        <x:v>Theni</x:v>
      </x:c>
      <x:c r="G127" s="14" t="str">
        <x:v>Theni</x:v>
      </x:c>
      <x:c r="H127" s="14" t="str">
        <x:v>1959-02-19</x:v>
      </x:c>
      <x:c r="I127" s="15" t="n">
        <x:v>42</x:v>
      </x:c>
      <x:c r="J127" s="16" t="n">
        <x:v>1</x:v>
      </x:c>
      <x:c r="K127" s="15" t="n">
        <x:f>I127*J127</x:f>
        <x:v>42</x:v>
      </x:c>
      <x:c r="L127" s="20" t="str">
        <x:v>Tamil Nadu Generation &amp; Distribution Co. Limited (TANGEDCO)</x:v>
      </x:c>
      <x:c r="M127" s="20" t="str">
        <x:v>District carried from original workbook</x:v>
      </x:c>
      <x:c r="N127" s="20" t="str"/>
      <x:c r="O127" s="20" t="str">
        <x:v>Existing</x:v>
      </x:c>
      <x:c r="P127" s="20" t="str">
        <x:v>No online correction applied because a single district was already provided.</x:v>
      </x:c>
    </x:row>
    <x:row r="128">
      <x:c r="A128" s="14" t="n">
        <x:v>128</x:v>
      </x:c>
      <x:c r="B128" s="14" t="str">
        <x:v>Hydro</x:v>
      </x:c>
      <x:c r="C128" s="14" t="str">
        <x:v>operational</x:v>
      </x:c>
      <x:c r="D128" s="20" t="str">
        <x:v>Periyar Hydroelectric Power Project</x:v>
      </x:c>
      <x:c r="E128" s="14" t="str">
        <x:v>Tamil Nadu</x:v>
      </x:c>
      <x:c r="F128" s="14" t="str">
        <x:v>Theni</x:v>
      </x:c>
      <x:c r="G128" s="14" t="str">
        <x:v>Theni</x:v>
      </x:c>
      <x:c r="H128" s="14" t="str">
        <x:v>1959-06-07</x:v>
      </x:c>
      <x:c r="I128" s="15" t="n">
        <x:v>42</x:v>
      </x:c>
      <x:c r="J128" s="16" t="n">
        <x:v>1</x:v>
      </x:c>
      <x:c r="K128" s="15" t="n">
        <x:f>I128*J128</x:f>
        <x:v>42</x:v>
      </x:c>
      <x:c r="L128" s="20" t="str">
        <x:v>Tamil Nadu Generation &amp; Distribution Co. Limited (TANGEDCO)</x:v>
      </x:c>
      <x:c r="M128" s="20" t="str">
        <x:v>District carried from original workbook</x:v>
      </x:c>
      <x:c r="N128" s="20" t="str"/>
      <x:c r="O128" s="20" t="str">
        <x:v>Existing</x:v>
      </x:c>
      <x:c r="P128" s="20" t="str">
        <x:v>No online correction applied because a single district was already provided.</x:v>
      </x:c>
    </x:row>
    <x:row r="129">
      <x:c r="A129" s="14" t="n">
        <x:v>129</x:v>
      </x:c>
      <x:c r="B129" s="14" t="str">
        <x:v>Hydro</x:v>
      </x:c>
      <x:c r="C129" s="14" t="str">
        <x:v>operational</x:v>
      </x:c>
      <x:c r="D129" s="20" t="str">
        <x:v>Periyar Hydroelectric Power Project</x:v>
      </x:c>
      <x:c r="E129" s="14" t="str">
        <x:v>Tamil Nadu</x:v>
      </x:c>
      <x:c r="F129" s="14" t="str">
        <x:v>Theni</x:v>
      </x:c>
      <x:c r="G129" s="14" t="str">
        <x:v>Theni</x:v>
      </x:c>
      <x:c r="H129" s="14" t="str">
        <x:v>1965-12-22</x:v>
      </x:c>
      <x:c r="I129" s="15" t="n">
        <x:v>42</x:v>
      </x:c>
      <x:c r="J129" s="16" t="n">
        <x:v>1</x:v>
      </x:c>
      <x:c r="K129" s="15" t="n">
        <x:f>I129*J129</x:f>
        <x:v>42</x:v>
      </x:c>
      <x:c r="L129" s="20" t="str">
        <x:v>Tamil Nadu Generation &amp; Distribution Co. Limited (TANGEDCO)</x:v>
      </x:c>
      <x:c r="M129" s="20" t="str">
        <x:v>District carried from original workbook</x:v>
      </x:c>
      <x:c r="N129" s="20" t="str"/>
      <x:c r="O129" s="20" t="str">
        <x:v>Existing</x:v>
      </x:c>
      <x:c r="P129" s="20" t="str">
        <x:v>No online correction applied because a single district was already provided.</x:v>
      </x:c>
    </x:row>
    <x:row r="130">
      <x:c r="A130" s="14" t="n">
        <x:v>130</x:v>
      </x:c>
      <x:c r="B130" s="14" t="str">
        <x:v>Hydro</x:v>
      </x:c>
      <x:c r="C130" s="14" t="str">
        <x:v>operational</x:v>
      </x:c>
      <x:c r="D130" s="20" t="str">
        <x:v>Pykara Hydroelectric Power Project</x:v>
      </x:c>
      <x:c r="E130" s="14" t="str">
        <x:v>Tamil Nadu</x:v>
      </x:c>
      <x:c r="F130" s="14" t="str">
        <x:v>Nilgiris</x:v>
      </x:c>
      <x:c r="G130" s="14" t="str">
        <x:v>Nilgiris</x:v>
      </x:c>
      <x:c r="H130" s="14" t="str">
        <x:v>1932-06-09</x:v>
      </x:c>
      <x:c r="I130" s="15" t="n">
        <x:v>7</x:v>
      </x:c>
      <x:c r="J130" s="16" t="n">
        <x:v>1</x:v>
      </x:c>
      <x:c r="K130" s="15" t="n">
        <x:f>I130*J130</x:f>
        <x:v>7</x:v>
      </x:c>
      <x:c r="L130" s="20" t="str">
        <x:v>Tamil Nadu Generation &amp; Distribution Co. Limited (TANGEDCO)</x:v>
      </x:c>
      <x:c r="M130" s="20" t="str">
        <x:v>District carried from original workbook</x:v>
      </x:c>
      <x:c r="N130" s="20" t="str"/>
      <x:c r="O130" s="20" t="str">
        <x:v>Existing</x:v>
      </x:c>
      <x:c r="P130" s="20" t="str">
        <x:v>No online correction applied because a single district was already provided.</x:v>
      </x:c>
    </x:row>
    <x:row r="131">
      <x:c r="A131" s="14" t="n">
        <x:v>131</x:v>
      </x:c>
      <x:c r="B131" s="14" t="str">
        <x:v>Hydro</x:v>
      </x:c>
      <x:c r="C131" s="14" t="str">
        <x:v>operational</x:v>
      </x:c>
      <x:c r="D131" s="20" t="str">
        <x:v>Pykara Hydroelectric Power Project</x:v>
      </x:c>
      <x:c r="E131" s="14" t="str">
        <x:v>Tamil Nadu</x:v>
      </x:c>
      <x:c r="F131" s="14" t="str">
        <x:v>Nilgiris</x:v>
      </x:c>
      <x:c r="G131" s="14" t="str">
        <x:v>Nilgiris</x:v>
      </x:c>
      <x:c r="H131" s="14" t="str">
        <x:v>1932-11-22</x:v>
      </x:c>
      <x:c r="I131" s="15" t="n">
        <x:v>7</x:v>
      </x:c>
      <x:c r="J131" s="16" t="n">
        <x:v>1</x:v>
      </x:c>
      <x:c r="K131" s="15" t="n">
        <x:f>I131*J131</x:f>
        <x:v>7</x:v>
      </x:c>
      <x:c r="L131" s="20" t="str">
        <x:v>Tamil Nadu Generation &amp; Distribution Co. Limited (TANGEDCO)</x:v>
      </x:c>
      <x:c r="M131" s="20" t="str">
        <x:v>District carried from original workbook</x:v>
      </x:c>
      <x:c r="N131" s="20" t="str"/>
      <x:c r="O131" s="20" t="str">
        <x:v>Existing</x:v>
      </x:c>
      <x:c r="P131" s="20" t="str">
        <x:v>No online correction applied because a single district was already provided.</x:v>
      </x:c>
    </x:row>
    <x:row r="132">
      <x:c r="A132" s="14" t="n">
        <x:v>132</x:v>
      </x:c>
      <x:c r="B132" s="14" t="str">
        <x:v>Hydro</x:v>
      </x:c>
      <x:c r="C132" s="14" t="str">
        <x:v>operational</x:v>
      </x:c>
      <x:c r="D132" s="20" t="str">
        <x:v>Pykara Hydroelectric Power Project</x:v>
      </x:c>
      <x:c r="E132" s="14" t="str">
        <x:v>Tamil Nadu</x:v>
      </x:c>
      <x:c r="F132" s="14" t="str">
        <x:v>Nilgiris</x:v>
      </x:c>
      <x:c r="G132" s="14" t="str">
        <x:v>Nilgiris</x:v>
      </x:c>
      <x:c r="H132" s="14" t="str">
        <x:v>1933-09-05</x:v>
      </x:c>
      <x:c r="I132" s="15" t="n">
        <x:v>7</x:v>
      </x:c>
      <x:c r="J132" s="16" t="n">
        <x:v>1</x:v>
      </x:c>
      <x:c r="K132" s="15" t="n">
        <x:f>I132*J132</x:f>
        <x:v>7</x:v>
      </x:c>
      <x:c r="L132" s="20" t="str">
        <x:v>Tamil Nadu Generation &amp; Distribution Co. Limited (TANGEDCO)</x:v>
      </x:c>
      <x:c r="M132" s="20" t="str">
        <x:v>District carried from original workbook</x:v>
      </x:c>
      <x:c r="N132" s="20" t="str"/>
      <x:c r="O132" s="20" t="str">
        <x:v>Existing</x:v>
      </x:c>
      <x:c r="P132" s="20" t="str">
        <x:v>No online correction applied because a single district was already provided.</x:v>
      </x:c>
    </x:row>
    <x:row r="133">
      <x:c r="A133" s="14" t="n">
        <x:v>133</x:v>
      </x:c>
      <x:c r="B133" s="14" t="str">
        <x:v>Hydro</x:v>
      </x:c>
      <x:c r="C133" s="14" t="str">
        <x:v>operational</x:v>
      </x:c>
      <x:c r="D133" s="20" t="str">
        <x:v>Pykara Hydroelectric Power Project</x:v>
      </x:c>
      <x:c r="E133" s="14" t="str">
        <x:v>Tamil Nadu</x:v>
      </x:c>
      <x:c r="F133" s="14" t="str">
        <x:v>Nilgiris</x:v>
      </x:c>
      <x:c r="G133" s="14" t="str">
        <x:v>Nilgiris</x:v>
      </x:c>
      <x:c r="H133" s="14" t="str">
        <x:v>1939-08-28</x:v>
      </x:c>
      <x:c r="I133" s="15" t="n">
        <x:v>13.6</x:v>
      </x:c>
      <x:c r="J133" s="16" t="n">
        <x:v>1</x:v>
      </x:c>
      <x:c r="K133" s="15" t="n">
        <x:f>I133*J133</x:f>
        <x:v>13.6</x:v>
      </x:c>
      <x:c r="L133" s="20" t="str">
        <x:v>Tamil Nadu Generation &amp; Distribution Co. Limited (TANGEDCO)</x:v>
      </x:c>
      <x:c r="M133" s="20" t="str">
        <x:v>District carried from original workbook</x:v>
      </x:c>
      <x:c r="N133" s="20" t="str"/>
      <x:c r="O133" s="20" t="str">
        <x:v>Existing</x:v>
      </x:c>
      <x:c r="P133" s="20" t="str">
        <x:v>No online correction applied because a single district was already provided.</x:v>
      </x:c>
    </x:row>
    <x:row r="134">
      <x:c r="A134" s="14" t="n">
        <x:v>134</x:v>
      </x:c>
      <x:c r="B134" s="14" t="str">
        <x:v>Hydro</x:v>
      </x:c>
      <x:c r="C134" s="14" t="str">
        <x:v>operational</x:v>
      </x:c>
      <x:c r="D134" s="20" t="str">
        <x:v>Pykara Hydroelectric Power Project</x:v>
      </x:c>
      <x:c r="E134" s="14" t="str">
        <x:v>Tamil Nadu</x:v>
      </x:c>
      <x:c r="F134" s="14" t="str">
        <x:v>Nilgiris</x:v>
      </x:c>
      <x:c r="G134" s="14" t="str">
        <x:v>Nilgiris</x:v>
      </x:c>
      <x:c r="H134" s="14" t="str">
        <x:v>1954-05-30</x:v>
      </x:c>
      <x:c r="I134" s="15" t="n">
        <x:v>13.6</x:v>
      </x:c>
      <x:c r="J134" s="16" t="n">
        <x:v>1</x:v>
      </x:c>
      <x:c r="K134" s="15" t="n">
        <x:f>I134*J134</x:f>
        <x:v>13.6</x:v>
      </x:c>
      <x:c r="L134" s="20" t="str">
        <x:v>Tamil Nadu Generation &amp; Distribution Co. Limited (TANGEDCO)</x:v>
      </x:c>
      <x:c r="M134" s="20" t="str">
        <x:v>District carried from original workbook</x:v>
      </x:c>
      <x:c r="N134" s="20" t="str"/>
      <x:c r="O134" s="20" t="str">
        <x:v>Existing</x:v>
      </x:c>
      <x:c r="P134" s="20" t="str">
        <x:v>No online correction applied because a single district was already provided.</x:v>
      </x:c>
    </x:row>
    <x:row r="135">
      <x:c r="A135" s="14" t="n">
        <x:v>135</x:v>
      </x:c>
      <x:c r="B135" s="14" t="str">
        <x:v>Hydro</x:v>
      </x:c>
      <x:c r="C135" s="14" t="str">
        <x:v>operational</x:v>
      </x:c>
      <x:c r="D135" s="20" t="str">
        <x:v>Pykara Hydroelectric Power Project</x:v>
      </x:c>
      <x:c r="E135" s="14" t="str">
        <x:v>Tamil Nadu</x:v>
      </x:c>
      <x:c r="F135" s="14" t="str">
        <x:v>Nilgiris</x:v>
      </x:c>
      <x:c r="G135" s="14" t="str">
        <x:v>Nilgiris</x:v>
      </x:c>
      <x:c r="H135" s="14" t="str">
        <x:v>1954-06-11</x:v>
      </x:c>
      <x:c r="I135" s="15" t="n">
        <x:v>11</x:v>
      </x:c>
      <x:c r="J135" s="16" t="n">
        <x:v>1</x:v>
      </x:c>
      <x:c r="K135" s="15" t="n">
        <x:f>I135*J135</x:f>
        <x:v>11</x:v>
      </x:c>
      <x:c r="L135" s="20" t="str">
        <x:v>Tamil Nadu Generation &amp; Distribution Co. Limited (TANGEDCO)</x:v>
      </x:c>
      <x:c r="M135" s="20" t="str">
        <x:v>District carried from original workbook</x:v>
      </x:c>
      <x:c r="N135" s="20" t="str"/>
      <x:c r="O135" s="20" t="str">
        <x:v>Existing</x:v>
      </x:c>
      <x:c r="P135" s="20" t="str">
        <x:v>No online correction applied because a single district was already provided.</x:v>
      </x:c>
    </x:row>
    <x:row r="136">
      <x:c r="A136" s="14" t="n">
        <x:v>136</x:v>
      </x:c>
      <x:c r="B136" s="14" t="str">
        <x:v>Hydro</x:v>
      </x:c>
      <x:c r="C136" s="14" t="str">
        <x:v>operational</x:v>
      </x:c>
      <x:c r="D136" s="20" t="str">
        <x:v>Pykara Ultimate Hydroelectric Power Project</x:v>
      </x:c>
      <x:c r="E136" s="14" t="str">
        <x:v>Tamil Nadu</x:v>
      </x:c>
      <x:c r="F136" s="14" t="str">
        <x:v>Nilgiris</x:v>
      </x:c>
      <x:c r="G136" s="14" t="str">
        <x:v>Nilgiris</x:v>
      </x:c>
      <x:c r="H136" s="14" t="str">
        <x:v>2005-09-06</x:v>
      </x:c>
      <x:c r="I136" s="15" t="n">
        <x:v>50</x:v>
      </x:c>
      <x:c r="J136" s="16" t="n">
        <x:v>1</x:v>
      </x:c>
      <x:c r="K136" s="15" t="n">
        <x:f>I136*J136</x:f>
        <x:v>50</x:v>
      </x:c>
      <x:c r="L136" s="20" t="str">
        <x:v>Tamil Nadu Generation &amp; Distribution Co. Limited (TANGEDCO)</x:v>
      </x:c>
      <x:c r="M136" s="20" t="str">
        <x:v>District carried from original workbook</x:v>
      </x:c>
      <x:c r="N136" s="20" t="str"/>
      <x:c r="O136" s="20" t="str">
        <x:v>Existing</x:v>
      </x:c>
      <x:c r="P136" s="20" t="str">
        <x:v>No online correction applied because a single district was already provided.</x:v>
      </x:c>
    </x:row>
    <x:row r="137">
      <x:c r="A137" s="14" t="n">
        <x:v>137</x:v>
      </x:c>
      <x:c r="B137" s="14" t="str">
        <x:v>Hydro</x:v>
      </x:c>
      <x:c r="C137" s="14" t="str">
        <x:v>operational</x:v>
      </x:c>
      <x:c r="D137" s="20" t="str">
        <x:v>Pykara Ultimate Hydroelectric Power Project</x:v>
      </x:c>
      <x:c r="E137" s="14" t="str">
        <x:v>Tamil Nadu</x:v>
      </x:c>
      <x:c r="F137" s="14" t="str">
        <x:v>Nilgiris</x:v>
      </x:c>
      <x:c r="G137" s="14" t="str">
        <x:v>Nilgiris</x:v>
      </x:c>
      <x:c r="H137" s="14" t="str">
        <x:v>2005-09-06</x:v>
      </x:c>
      <x:c r="I137" s="15" t="n">
        <x:v>50</x:v>
      </x:c>
      <x:c r="J137" s="16" t="n">
        <x:v>1</x:v>
      </x:c>
      <x:c r="K137" s="15" t="n">
        <x:f>I137*J137</x:f>
        <x:v>50</x:v>
      </x:c>
      <x:c r="L137" s="20" t="str">
        <x:v>Tamil Nadu Generation &amp; Distribution Co. Limited (TANGEDCO)</x:v>
      </x:c>
      <x:c r="M137" s="20" t="str">
        <x:v>District carried from original workbook</x:v>
      </x:c>
      <x:c r="N137" s="20" t="str"/>
      <x:c r="O137" s="20" t="str">
        <x:v>Existing</x:v>
      </x:c>
      <x:c r="P137" s="20" t="str">
        <x:v>No online correction applied because a single district was already provided.</x:v>
      </x:c>
    </x:row>
    <x:row r="138">
      <x:c r="A138" s="14" t="n">
        <x:v>138</x:v>
      </x:c>
      <x:c r="B138" s="14" t="str">
        <x:v>Hydro</x:v>
      </x:c>
      <x:c r="C138" s="14" t="str">
        <x:v>operational</x:v>
      </x:c>
      <x:c r="D138" s="20" t="str">
        <x:v>Pykara Ultimate Hydroelectric Power Project</x:v>
      </x:c>
      <x:c r="E138" s="14" t="str">
        <x:v>Tamil Nadu</x:v>
      </x:c>
      <x:c r="F138" s="14" t="str">
        <x:v>Nilgiris</x:v>
      </x:c>
      <x:c r="G138" s="14" t="str">
        <x:v>Nilgiris</x:v>
      </x:c>
      <x:c r="H138" s="14" t="str">
        <x:v>2005-09-06</x:v>
      </x:c>
      <x:c r="I138" s="15" t="n">
        <x:v>50</x:v>
      </x:c>
      <x:c r="J138" s="16" t="n">
        <x:v>1</x:v>
      </x:c>
      <x:c r="K138" s="15" t="n">
        <x:f>I138*J138</x:f>
        <x:v>50</x:v>
      </x:c>
      <x:c r="L138" s="20" t="str">
        <x:v>Tamil Nadu Generation &amp; Distribution Co. Limited (TANGEDCO)</x:v>
      </x:c>
      <x:c r="M138" s="20" t="str">
        <x:v>District carried from original workbook</x:v>
      </x:c>
      <x:c r="N138" s="20" t="str"/>
      <x:c r="O138" s="20" t="str">
        <x:v>Existing</x:v>
      </x:c>
      <x:c r="P138" s="20" t="str">
        <x:v>No online correction applied because a single district was already provided.</x:v>
      </x:c>
    </x:row>
    <x:row r="139">
      <x:c r="A139" s="14" t="n">
        <x:v>139</x:v>
      </x:c>
      <x:c r="B139" s="14" t="str">
        <x:v>Hydro</x:v>
      </x:c>
      <x:c r="C139" s="14" t="str">
        <x:v>operational</x:v>
      </x:c>
      <x:c r="D139" s="20" t="str">
        <x:v>Sarkarpathy Hydroelectric Power Project</x:v>
      </x:c>
      <x:c r="E139" s="14" t="str">
        <x:v>Tamil Nadu</x:v>
      </x:c>
      <x:c r="F139" s="14" t="str">
        <x:v>Coimbatore</x:v>
      </x:c>
      <x:c r="G139" s="14" t="str">
        <x:v>Coimbatore</x:v>
      </x:c>
      <x:c r="H139" s="14" t="str">
        <x:v>1966-08-14</x:v>
      </x:c>
      <x:c r="I139" s="15" t="n">
        <x:v>30</x:v>
      </x:c>
      <x:c r="J139" s="16" t="n">
        <x:v>1</x:v>
      </x:c>
      <x:c r="K139" s="15" t="n">
        <x:f>I139*J139</x:f>
        <x:v>30</x:v>
      </x:c>
      <x:c r="L139" s="20" t="str">
        <x:v>Tamil Nadu Generation &amp; Distribution Co. Limited (TANGEDCO)</x:v>
      </x:c>
      <x:c r="M139" s="20" t="str">
        <x:v>District carried from original workbook</x:v>
      </x:c>
      <x:c r="N139" s="20" t="str"/>
      <x:c r="O139" s="20" t="str">
        <x:v>Existing</x:v>
      </x:c>
      <x:c r="P139" s="20" t="str">
        <x:v>No online correction applied because a single district was already provided.</x:v>
      </x:c>
    </x:row>
    <x:row r="140">
      <x:c r="A140" s="14" t="n">
        <x:v>140</x:v>
      </x:c>
      <x:c r="B140" s="14" t="str">
        <x:v>Hydro</x:v>
      </x:c>
      <x:c r="C140" s="14" t="str">
        <x:v>operational</x:v>
      </x:c>
      <x:c r="D140" s="20" t="str">
        <x:v>Sholayar I Power House</x:v>
      </x:c>
      <x:c r="E140" s="14" t="str">
        <x:v>Tamil Nadu</x:v>
      </x:c>
      <x:c r="F140" s="14" t="str">
        <x:v>Coimbatore</x:v>
      </x:c>
      <x:c r="G140" s="14" t="str">
        <x:v>Coimbatore</x:v>
      </x:c>
      <x:c r="H140" s="14" t="str">
        <x:v>1971-04-22</x:v>
      </x:c>
      <x:c r="I140" s="15" t="n">
        <x:v>42</x:v>
      </x:c>
      <x:c r="J140" s="16" t="n">
        <x:v>1</x:v>
      </x:c>
      <x:c r="K140" s="15" t="n">
        <x:f>I140*J140</x:f>
        <x:v>42</x:v>
      </x:c>
      <x:c r="L140" s="20" t="str">
        <x:v>Tamil Nadu Generation &amp; Distribution Co. Limited (TANGEDCO)</x:v>
      </x:c>
      <x:c r="M140" s="20" t="str">
        <x:v>District carried from original workbook</x:v>
      </x:c>
      <x:c r="N140" s="20" t="str"/>
      <x:c r="O140" s="20" t="str">
        <x:v>Existing</x:v>
      </x:c>
      <x:c r="P140" s="20" t="str">
        <x:v>No online correction applied because a single district was already provided.</x:v>
      </x:c>
    </x:row>
    <x:row r="141">
      <x:c r="A141" s="14" t="n">
        <x:v>141</x:v>
      </x:c>
      <x:c r="B141" s="14" t="str">
        <x:v>Hydro</x:v>
      </x:c>
      <x:c r="C141" s="14" t="str">
        <x:v>operational</x:v>
      </x:c>
      <x:c r="D141" s="20" t="str">
        <x:v>Sholayar I Power House</x:v>
      </x:c>
      <x:c r="E141" s="14" t="str">
        <x:v>Tamil Nadu</x:v>
      </x:c>
      <x:c r="F141" s="14" t="str">
        <x:v>Coimbatore</x:v>
      </x:c>
      <x:c r="G141" s="14" t="str">
        <x:v>Coimbatore</x:v>
      </x:c>
      <x:c r="H141" s="14" t="str">
        <x:v>1971-05-04</x:v>
      </x:c>
      <x:c r="I141" s="15" t="n">
        <x:v>42</x:v>
      </x:c>
      <x:c r="J141" s="16" t="n">
        <x:v>1</x:v>
      </x:c>
      <x:c r="K141" s="15" t="n">
        <x:f>I141*J141</x:f>
        <x:v>42</x:v>
      </x:c>
      <x:c r="L141" s="20" t="str">
        <x:v>Tamil Nadu Generation &amp; Distribution Co. Limited (TANGEDCO)</x:v>
      </x:c>
      <x:c r="M141" s="20" t="str">
        <x:v>District carried from original workbook</x:v>
      </x:c>
      <x:c r="N141" s="20" t="str"/>
      <x:c r="O141" s="20" t="str">
        <x:v>Existing</x:v>
      </x:c>
      <x:c r="P141" s="20" t="str">
        <x:v>No online correction applied because a single district was already provided.</x:v>
      </x:c>
    </x:row>
    <x:row r="142">
      <x:c r="A142" s="14" t="n">
        <x:v>142</x:v>
      </x:c>
      <x:c r="B142" s="14" t="str">
        <x:v>Hydro</x:v>
      </x:c>
      <x:c r="C142" s="14" t="str">
        <x:v>operational</x:v>
      </x:c>
      <x:c r="D142" s="20" t="str">
        <x:v>Suruliyar Hydroelectric Power Project</x:v>
      </x:c>
      <x:c r="E142" s="14" t="str">
        <x:v>Tamil Nadu</x:v>
      </x:c>
      <x:c r="F142" s="14" t="str">
        <x:v>Theni</x:v>
      </x:c>
      <x:c r="G142" s="14" t="str">
        <x:v>Theni</x:v>
      </x:c>
      <x:c r="H142" s="14" t="str">
        <x:v>1978-08-27</x:v>
      </x:c>
      <x:c r="I142" s="15" t="n">
        <x:v>35</x:v>
      </x:c>
      <x:c r="J142" s="16" t="n">
        <x:v>1</x:v>
      </x:c>
      <x:c r="K142" s="15" t="n">
        <x:f>I142*J142</x:f>
        <x:v>35</x:v>
      </x:c>
      <x:c r="L142" s="20" t="str">
        <x:v>Tamil Nadu Generation &amp; Distribution Co. Limited (TANGEDCO)</x:v>
      </x:c>
      <x:c r="M142" s="20" t="str">
        <x:v>District carried from original workbook</x:v>
      </x:c>
      <x:c r="N142" s="20" t="str"/>
      <x:c r="O142" s="20" t="str">
        <x:v>Existing</x:v>
      </x:c>
      <x:c r="P142" s="20" t="str">
        <x:v>No online correction applied because a single district was already provided.</x:v>
      </x:c>
    </x:row>
    <x:row r="143">
      <x:c r="A143" s="14" t="n">
        <x:v>143</x:v>
      </x:c>
      <x:c r="B143" s="14" t="str">
        <x:v>Wind</x:v>
      </x:c>
      <x:c r="C143" s="14" t="str">
        <x:v>pipeline</x:v>
      </x:c>
      <x:c r="D143" s="20" t="str">
        <x:v>151 MW SJVN Wind Palayam Green Shoe Tamil Nadu Karur</x:v>
      </x:c>
      <x:c r="E143" s="14" t="str">
        <x:v>Tamil Nadu</x:v>
      </x:c>
      <x:c r="F143" s="14" t="str">
        <x:v>Karur</x:v>
      </x:c>
      <x:c r="G143" s="14" t="str">
        <x:v>Karur</x:v>
      </x:c>
      <x:c r="H143" s="14"/>
      <x:c r="I143" s="15" t="n">
        <x:v>151.2</x:v>
      </x:c>
      <x:c r="J143" s="16" t="n">
        <x:v>1</x:v>
      </x:c>
      <x:c r="K143" s="15" t="n">
        <x:f>I143*J143</x:f>
        <x:v>151.2</x:v>
      </x:c>
      <x:c r="L143" s="20"/>
      <x:c r="M143" s="20" t="str">
        <x:v>District carried from original workbook</x:v>
      </x:c>
      <x:c r="N143" s="20" t="str"/>
      <x:c r="O143" s="20" t="str">
        <x:v>Existing</x:v>
      </x:c>
      <x:c r="P143" s="20" t="str">
        <x:v>No online correction applied because a single district was already provided.</x:v>
      </x:c>
    </x:row>
    <x:row r="144">
      <x:c r="A144" s="14" t="n">
        <x:v>144</x:v>
      </x:c>
      <x:c r="B144" s="14" t="str">
        <x:v>Wind</x:v>
      </x:c>
      <x:c r="C144" s="14" t="str">
        <x:v>pipeline</x:v>
      </x:c>
      <x:c r="D144" s="20" t="str">
        <x:v>151.2 MW Wind SJVN FDRE Basis LOA Tamil Nadu Karur</x:v>
      </x:c>
      <x:c r="E144" s="14" t="str">
        <x:v>Tamil Nadu</x:v>
      </x:c>
      <x:c r="F144" s="14" t="str">
        <x:v>Karur</x:v>
      </x:c>
      <x:c r="G144" s="14" t="str">
        <x:v>Karur</x:v>
      </x:c>
      <x:c r="H144" s="14"/>
      <x:c r="I144" s="15" t="n">
        <x:v>151.2</x:v>
      </x:c>
      <x:c r="J144" s="16" t="n">
        <x:v>1</x:v>
      </x:c>
      <x:c r="K144" s="15" t="n">
        <x:f>I144*J144</x:f>
        <x:v>151.2</x:v>
      </x:c>
      <x:c r="L144" s="20"/>
      <x:c r="M144" s="20" t="str">
        <x:v>District carried from original workbook</x:v>
      </x:c>
      <x:c r="N144" s="20" t="str"/>
      <x:c r="O144" s="20" t="str">
        <x:v>Existing</x:v>
      </x:c>
      <x:c r="P144" s="20" t="str">
        <x:v>No online correction applied because a single district was already provided.</x:v>
      </x:c>
    </x:row>
    <x:row r="145">
      <x:c r="A145" s="14" t="n">
        <x:v>145</x:v>
      </x:c>
      <x:c r="B145" s="14" t="str">
        <x:v>Wind</x:v>
      </x:c>
      <x:c r="C145" s="14" t="str">
        <x:v>pipeline</x:v>
      </x:c>
      <x:c r="D145" s="20" t="str">
        <x:v>82.5 MW NTPC FDRE Wind Tamil Nadu Karur</x:v>
      </x:c>
      <x:c r="E145" s="14" t="str">
        <x:v>Tamil Nadu</x:v>
      </x:c>
      <x:c r="F145" s="14" t="str">
        <x:v>Karur</x:v>
      </x:c>
      <x:c r="G145" s="14" t="str">
        <x:v>Karur</x:v>
      </x:c>
      <x:c r="H145" s="14"/>
      <x:c r="I145" s="15" t="n">
        <x:v>82.5</x:v>
      </x:c>
      <x:c r="J145" s="16" t="n">
        <x:v>1</x:v>
      </x:c>
      <x:c r="K145" s="15" t="n">
        <x:f>I145*J145</x:f>
        <x:v>82.5</x:v>
      </x:c>
      <x:c r="L145" s="20"/>
      <x:c r="M145" s="20" t="str">
        <x:v>District carried from original workbook</x:v>
      </x:c>
      <x:c r="N145" s="20" t="str"/>
      <x:c r="O145" s="20" t="str">
        <x:v>Existing</x:v>
      </x:c>
      <x:c r="P145" s="20" t="str">
        <x:v>No online correction applied because a single district was already provided.</x:v>
      </x:c>
    </x:row>
    <x:row r="146">
      <x:c r="A146" s="14" t="n">
        <x:v>146</x:v>
      </x:c>
      <x:c r="B146" s="14" t="str">
        <x:v>Wind</x:v>
      </x:c>
      <x:c r="C146" s="14" t="str">
        <x:v>pipeline</x:v>
      </x:c>
      <x:c r="D146" s="20" t="str">
        <x:v>93.6 MW Karur - SJVN FDRE Green Shoe Tamil Nadu Karur</x:v>
      </x:c>
      <x:c r="E146" s="14" t="str">
        <x:v>Tamil Nadu</x:v>
      </x:c>
      <x:c r="F146" s="14" t="str">
        <x:v>Karur</x:v>
      </x:c>
      <x:c r="G146" s="14" t="str">
        <x:v>Karur</x:v>
      </x:c>
      <x:c r="H146" s="14"/>
      <x:c r="I146" s="15" t="n">
        <x:v>93.6</x:v>
      </x:c>
      <x:c r="J146" s="16" t="n">
        <x:v>1</x:v>
      </x:c>
      <x:c r="K146" s="15" t="n">
        <x:f>I146*J146</x:f>
        <x:v>93.6</x:v>
      </x:c>
      <x:c r="L146" s="20"/>
      <x:c r="M146" s="20" t="str">
        <x:v>District carried from original workbook</x:v>
      </x:c>
      <x:c r="N146" s="20" t="str"/>
      <x:c r="O146" s="20" t="str">
        <x:v>Existing</x:v>
      </x:c>
      <x:c r="P146" s="20" t="str">
        <x:v>No online correction applied because a single district was already provided.</x:v>
      </x:c>
    </x:row>
    <x:row r="147">
      <x:c r="A147" s="14" t="n">
        <x:v>147</x:v>
      </x:c>
      <x:c r="B147" s="14" t="str">
        <x:v>Wind</x:v>
      </x:c>
      <x:c r="C147" s="14" t="str">
        <x:v>pipeline</x:v>
      </x:c>
      <x:c r="D147" s="20" t="str">
        <x:v>Amplus Sun Beat Private Limited Tamil Nadu Karur</x:v>
      </x:c>
      <x:c r="E147" s="14" t="str">
        <x:v>Tamil Nadu</x:v>
      </x:c>
      <x:c r="F147" s="14" t="str">
        <x:v>Karur</x:v>
      </x:c>
      <x:c r="G147" s="14" t="str">
        <x:v>Karur</x:v>
      </x:c>
      <x:c r="H147" s="14"/>
      <x:c r="I147" s="15" t="n">
        <x:v>80</x:v>
      </x:c>
      <x:c r="J147" s="16" t="n">
        <x:v>1</x:v>
      </x:c>
      <x:c r="K147" s="15" t="n">
        <x:f>I147*J147</x:f>
        <x:v>80</x:v>
      </x:c>
      <x:c r="L147" s="20"/>
      <x:c r="M147" s="20" t="str">
        <x:v>District carried from original workbook</x:v>
      </x:c>
      <x:c r="N147" s="20" t="str"/>
      <x:c r="O147" s="20" t="str">
        <x:v>Existing</x:v>
      </x:c>
      <x:c r="P147" s="20" t="str">
        <x:v>No online correction applied because a single district was already provided.</x:v>
      </x:c>
    </x:row>
    <x:row r="148">
      <x:c r="A148" s="14" t="n">
        <x:v>148</x:v>
      </x:c>
      <x:c r="B148" s="14" t="str">
        <x:v>Wind</x:v>
      </x:c>
      <x:c r="C148" s="14" t="str">
        <x:v>pipeline</x:v>
      </x:c>
      <x:c r="D148" s="20" t="str">
        <x:v>Amplus Theta Energy Private Limited Tamil Nadu Karur</x:v>
      </x:c>
      <x:c r="E148" s="14" t="str">
        <x:v>Tamil Nadu</x:v>
      </x:c>
      <x:c r="F148" s="14" t="str">
        <x:v>Karur</x:v>
      </x:c>
      <x:c r="G148" s="14" t="str">
        <x:v>Karur</x:v>
      </x:c>
      <x:c r="H148" s="14"/>
      <x:c r="I148" s="15" t="n">
        <x:v>65</x:v>
      </x:c>
      <x:c r="J148" s="16" t="n">
        <x:v>1</x:v>
      </x:c>
      <x:c r="K148" s="15" t="n">
        <x:f>I148*J148</x:f>
        <x:v>65</x:v>
      </x:c>
      <x:c r="L148" s="20"/>
      <x:c r="M148" s="20" t="str">
        <x:v>District carried from original workbook</x:v>
      </x:c>
      <x:c r="N148" s="20" t="str"/>
      <x:c r="O148" s="20" t="str">
        <x:v>Existing</x:v>
      </x:c>
      <x:c r="P148" s="20" t="str">
        <x:v>No online correction applied because a single district was already provided.</x:v>
      </x:c>
    </x:row>
    <x:row r="149">
      <x:c r="A149" s="14" t="n">
        <x:v>149</x:v>
      </x:c>
      <x:c r="B149" s="14" t="str">
        <x:v>Wind</x:v>
      </x:c>
      <x:c r="C149" s="14" t="str">
        <x:v>pipeline</x:v>
      </x:c>
      <x:c r="D149" s="20" t="str">
        <x:v>Jindal Renewables - Wind Project - C&amp;I Tamil Nadu Karur</x:v>
      </x:c>
      <x:c r="E149" s="14" t="str">
        <x:v>Tamil Nadu</x:v>
      </x:c>
      <x:c r="F149" s="14" t="str">
        <x:v>Karur</x:v>
      </x:c>
      <x:c r="G149" s="14" t="str">
        <x:v>Karur</x:v>
      </x:c>
      <x:c r="H149" s="14"/>
      <x:c r="I149" s="15" t="n">
        <x:v>300</x:v>
      </x:c>
      <x:c r="J149" s="16" t="n">
        <x:v>1</x:v>
      </x:c>
      <x:c r="K149" s="15" t="n">
        <x:f>I149*J149</x:f>
        <x:v>300</x:v>
      </x:c>
      <x:c r="L149" s="20"/>
      <x:c r="M149" s="20" t="str">
        <x:v>District carried from original workbook</x:v>
      </x:c>
      <x:c r="N149" s="20" t="str"/>
      <x:c r="O149" s="20" t="str">
        <x:v>Existing</x:v>
      </x:c>
      <x:c r="P149" s="20" t="str">
        <x:v>No online correction applied because a single district was already provided.</x:v>
      </x:c>
    </x:row>
    <x:row r="150">
      <x:c r="A150" s="14" t="n">
        <x:v>150</x:v>
      </x:c>
      <x:c r="B150" s="14" t="str">
        <x:v>Wind</x:v>
      </x:c>
      <x:c r="C150" s="14" t="str">
        <x:v>pipeline</x:v>
      </x:c>
      <x:c r="D150" s="20" t="str">
        <x:v>Jindal Renewables - Wind Project - C&amp;I Tamil Nadu Karur</x:v>
      </x:c>
      <x:c r="E150" s="14" t="str">
        <x:v>Tamil Nadu</x:v>
      </x:c>
      <x:c r="F150" s="14" t="str">
        <x:v>Karur</x:v>
      </x:c>
      <x:c r="G150" s="14" t="str">
        <x:v>Karur</x:v>
      </x:c>
      <x:c r="H150" s="14"/>
      <x:c r="I150" s="15" t="n">
        <x:v>50</x:v>
      </x:c>
      <x:c r="J150" s="16" t="n">
        <x:v>1</x:v>
      </x:c>
      <x:c r="K150" s="15" t="n">
        <x:f>I150*J150</x:f>
        <x:v>50</x:v>
      </x:c>
      <x:c r="L150" s="20"/>
      <x:c r="M150" s="20" t="str">
        <x:v>District carried from original workbook</x:v>
      </x:c>
      <x:c r="N150" s="20" t="str"/>
      <x:c r="O150" s="20" t="str">
        <x:v>Existing</x:v>
      </x:c>
      <x:c r="P150" s="20" t="str">
        <x:v>No online correction applied because a single district was already provided.</x:v>
      </x:c>
    </x:row>
    <x:row r="151">
      <x:c r="A151" s="14" t="n">
        <x:v>151</x:v>
      </x:c>
      <x:c r="B151" s="14" t="str">
        <x:v>Wind</x:v>
      </x:c>
      <x:c r="C151" s="14" t="str">
        <x:v>operational</x:v>
      </x:c>
      <x:c r="D151" s="20" t="str">
        <x:v>Tamil Nadu-Ariyalur</x:v>
      </x:c>
      <x:c r="E151" s="14" t="str">
        <x:v>Tamil Nadu</x:v>
      </x:c>
      <x:c r="F151" s="14" t="str">
        <x:v>Ariyalur</x:v>
      </x:c>
      <x:c r="G151" s="14" t="str">
        <x:v>Ariyalur</x:v>
      </x:c>
      <x:c r="H151" s="14"/>
      <x:c r="I151" s="15" t="n">
        <x:v>22</x:v>
      </x:c>
      <x:c r="J151" s="16" t="n">
        <x:v>1</x:v>
      </x:c>
      <x:c r="K151" s="15" t="n">
        <x:f>I151*J151</x:f>
        <x:v>22</x:v>
      </x:c>
      <x:c r="L151" s="20"/>
      <x:c r="M151" s="20" t="str">
        <x:v>District carried from original workbook</x:v>
      </x:c>
      <x:c r="N151" s="20" t="str"/>
      <x:c r="O151" s="20" t="str">
        <x:v>Existing</x:v>
      </x:c>
      <x:c r="P151" s="20" t="str">
        <x:v>No online correction applied because a single district was already provided.</x:v>
      </x:c>
    </x:row>
    <x:row r="152">
      <x:c r="A152" s="14" t="n">
        <x:v>152</x:v>
      </x:c>
      <x:c r="B152" s="14" t="str">
        <x:v>Wind</x:v>
      </x:c>
      <x:c r="C152" s="14" t="str">
        <x:v>operational</x:v>
      </x:c>
      <x:c r="D152" s="20" t="str">
        <x:v>Tamil Nadu-Chennai</x:v>
      </x:c>
      <x:c r="E152" s="14" t="str">
        <x:v>Tamil Nadu</x:v>
      </x:c>
      <x:c r="F152" s="14" t="str">
        <x:v>Chennai</x:v>
      </x:c>
      <x:c r="G152" s="14" t="str">
        <x:v>Chennai</x:v>
      </x:c>
      <x:c r="H152" s="14"/>
      <x:c r="I152" s="15" t="n">
        <x:v>3.125</x:v>
      </x:c>
      <x:c r="J152" s="16" t="n">
        <x:v>1</x:v>
      </x:c>
      <x:c r="K152" s="15" t="n">
        <x:f>I152*J152</x:f>
        <x:v>3.125</x:v>
      </x:c>
      <x:c r="L152" s="20"/>
      <x:c r="M152" s="20" t="str">
        <x:v>District carried from original workbook</x:v>
      </x:c>
      <x:c r="N152" s="20" t="str"/>
      <x:c r="O152" s="20" t="str">
        <x:v>Existing</x:v>
      </x:c>
      <x:c r="P152" s="20" t="str">
        <x:v>No online correction applied because a single district was already provided.</x:v>
      </x:c>
    </x:row>
    <x:row r="153">
      <x:c r="A153" s="14" t="n">
        <x:v>153</x:v>
      </x:c>
      <x:c r="B153" s="14" t="str">
        <x:v>Wind</x:v>
      </x:c>
      <x:c r="C153" s="14" t="str">
        <x:v>operational</x:v>
      </x:c>
      <x:c r="D153" s="20" t="str">
        <x:v>Tamil Nadu-Coimbatore</x:v>
      </x:c>
      <x:c r="E153" s="14" t="str">
        <x:v>Tamil Nadu</x:v>
      </x:c>
      <x:c r="F153" s="14" t="str">
        <x:v>Coimbatore</x:v>
      </x:c>
      <x:c r="G153" s="14" t="str">
        <x:v>Coimbatore</x:v>
      </x:c>
      <x:c r="H153" s="14"/>
      <x:c r="I153" s="15" t="n">
        <x:v>2260.1875</x:v>
      </x:c>
      <x:c r="J153" s="16" t="n">
        <x:v>1</x:v>
      </x:c>
      <x:c r="K153" s="15" t="n">
        <x:f>I153*J153</x:f>
        <x:v>2260.1875</x:v>
      </x:c>
      <x:c r="L153" s="20"/>
      <x:c r="M153" s="20" t="str">
        <x:v>District carried from original workbook</x:v>
      </x:c>
      <x:c r="N153" s="20" t="str"/>
      <x:c r="O153" s="20" t="str">
        <x:v>Existing</x:v>
      </x:c>
      <x:c r="P153" s="20" t="str">
        <x:v>No online correction applied because a single district was already provided.</x:v>
      </x:c>
    </x:row>
    <x:row r="154">
      <x:c r="A154" s="14" t="n">
        <x:v>154</x:v>
      </x:c>
      <x:c r="B154" s="14" t="str">
        <x:v>Wind</x:v>
      </x:c>
      <x:c r="C154" s="14" t="str">
        <x:v>operational</x:v>
      </x:c>
      <x:c r="D154" s="20" t="str">
        <x:v>Tamil Nadu-Dharmapuri</x:v>
      </x:c>
      <x:c r="E154" s="14" t="str">
        <x:v>Tamil Nadu</x:v>
      </x:c>
      <x:c r="F154" s="14" t="str">
        <x:v>Dharmapuri</x:v>
      </x:c>
      <x:c r="G154" s="14" t="str">
        <x:v>Dharmapuri</x:v>
      </x:c>
      <x:c r="H154" s="14"/>
      <x:c r="I154" s="15" t="n">
        <x:v>196</x:v>
      </x:c>
      <x:c r="J154" s="16" t="n">
        <x:v>1</x:v>
      </x:c>
      <x:c r="K154" s="15" t="n">
        <x:f>I154*J154</x:f>
        <x:v>196</x:v>
      </x:c>
      <x:c r="L154" s="20"/>
      <x:c r="M154" s="20" t="str">
        <x:v>District carried from original workbook</x:v>
      </x:c>
      <x:c r="N154" s="20" t="str"/>
      <x:c r="O154" s="20" t="str">
        <x:v>Existing</x:v>
      </x:c>
      <x:c r="P154" s="20" t="str">
        <x:v>No online correction applied because a single district was already provided.</x:v>
      </x:c>
    </x:row>
    <x:row r="155">
      <x:c r="A155" s="14" t="n">
        <x:v>155</x:v>
      </x:c>
      <x:c r="B155" s="14" t="str">
        <x:v>Wind</x:v>
      </x:c>
      <x:c r="C155" s="14" t="str">
        <x:v>operational</x:v>
      </x:c>
      <x:c r="D155" s="20" t="str">
        <x:v>Tamil Nadu-Dindigul</x:v>
      </x:c>
      <x:c r="E155" s="14" t="str">
        <x:v>Tamil Nadu</x:v>
      </x:c>
      <x:c r="F155" s="14" t="str">
        <x:v>Dindigul</x:v>
      </x:c>
      <x:c r="G155" s="14" t="str">
        <x:v>Dindigul</x:v>
      </x:c>
      <x:c r="H155" s="14"/>
      <x:c r="I155" s="15" t="n">
        <x:v>635.2675</x:v>
      </x:c>
      <x:c r="J155" s="16" t="n">
        <x:v>1</x:v>
      </x:c>
      <x:c r="K155" s="15" t="n">
        <x:f>I155*J155</x:f>
        <x:v>635.2675</x:v>
      </x:c>
      <x:c r="L155" s="20"/>
      <x:c r="M155" s="20" t="str">
        <x:v>District carried from original workbook</x:v>
      </x:c>
      <x:c r="N155" s="20" t="str"/>
      <x:c r="O155" s="20" t="str">
        <x:v>Existing</x:v>
      </x:c>
      <x:c r="P155" s="20" t="str">
        <x:v>No online correction applied because a single district was already provided.</x:v>
      </x:c>
    </x:row>
    <x:row r="156">
      <x:c r="A156" s="14" t="n">
        <x:v>156</x:v>
      </x:c>
      <x:c r="B156" s="14" t="str">
        <x:v>Wind</x:v>
      </x:c>
      <x:c r="C156" s="14" t="str">
        <x:v>operational</x:v>
      </x:c>
      <x:c r="D156" s="20" t="str">
        <x:v>Tamil Nadu-Erode</x:v>
      </x:c>
      <x:c r="E156" s="14" t="str">
        <x:v>Tamil Nadu</x:v>
      </x:c>
      <x:c r="F156" s="14" t="str">
        <x:v>Erode</x:v>
      </x:c>
      <x:c r="G156" s="14" t="str">
        <x:v>Erode</x:v>
      </x:c>
      <x:c r="H156" s="14"/>
      <x:c r="I156" s="15" t="n">
        <x:v>129.33</x:v>
      </x:c>
      <x:c r="J156" s="16" t="n">
        <x:v>1</x:v>
      </x:c>
      <x:c r="K156" s="15" t="n">
        <x:f>I156*J156</x:f>
        <x:v>129.33</x:v>
      </x:c>
      <x:c r="L156" s="20"/>
      <x:c r="M156" s="20" t="str">
        <x:v>District carried from original workbook</x:v>
      </x:c>
      <x:c r="N156" s="20" t="str"/>
      <x:c r="O156" s="20" t="str">
        <x:v>Existing</x:v>
      </x:c>
      <x:c r="P156" s="20" t="str">
        <x:v>No online correction applied because a single district was already provided.</x:v>
      </x:c>
    </x:row>
    <x:row r="157">
      <x:c r="A157" s="14" t="n">
        <x:v>157</x:v>
      </x:c>
      <x:c r="B157" s="14" t="str">
        <x:v>Wind</x:v>
      </x:c>
      <x:c r="C157" s="14" t="str">
        <x:v>operational</x:v>
      </x:c>
      <x:c r="D157" s="20" t="str">
        <x:v>Tamil Nadu-Kancheepuram</x:v>
      </x:c>
      <x:c r="E157" s="14" t="str">
        <x:v>Tamil Nadu</x:v>
      </x:c>
      <x:c r="F157" s="14" t="str">
        <x:v>Kancheepuram</x:v>
      </x:c>
      <x:c r="G157" s="14" t="str">
        <x:v>Kanchipuram</x:v>
      </x:c>
      <x:c r="H157" s="14"/>
      <x:c r="I157" s="15" t="n">
        <x:v>7.65</x:v>
      </x:c>
      <x:c r="J157" s="16" t="n">
        <x:v>1</x:v>
      </x:c>
      <x:c r="K157" s="15" t="n">
        <x:f>I157*J157</x:f>
        <x:v>7.65</x:v>
      </x:c>
      <x:c r="L157" s="20"/>
      <x:c r="M157" s="20" t="str">
        <x:v>District carried from original workbook</x:v>
      </x:c>
      <x:c r="N157" s="20" t="str"/>
      <x:c r="O157" s="20" t="str">
        <x:v>Existing</x:v>
      </x:c>
      <x:c r="P157" s="20" t="str">
        <x:v>No online correction applied because a single district was already provided.</x:v>
      </x:c>
    </x:row>
    <x:row r="158">
      <x:c r="A158" s="14" t="n">
        <x:v>158</x:v>
      </x:c>
      <x:c r="B158" s="14" t="str">
        <x:v>Wind</x:v>
      </x:c>
      <x:c r="C158" s="14" t="str">
        <x:v>operational</x:v>
      </x:c>
      <x:c r="D158" s="20" t="str">
        <x:v>Tamil Nadu-Kanniyakumari</x:v>
      </x:c>
      <x:c r="E158" s="14" t="str">
        <x:v>Tamil Nadu</x:v>
      </x:c>
      <x:c r="F158" s="14" t="str">
        <x:v>Kanniyakumari</x:v>
      </x:c>
      <x:c r="G158" s="14" t="str">
        <x:v>Kanyakumari</x:v>
      </x:c>
      <x:c r="H158" s="14"/>
      <x:c r="I158" s="15" t="n">
        <x:v>349.125</x:v>
      </x:c>
      <x:c r="J158" s="16" t="n">
        <x:v>1</x:v>
      </x:c>
      <x:c r="K158" s="15" t="n">
        <x:f>I158*J158</x:f>
        <x:v>349.125</x:v>
      </x:c>
      <x:c r="L158" s="20"/>
      <x:c r="M158" s="20" t="str">
        <x:v>District carried from original workbook</x:v>
      </x:c>
      <x:c r="N158" s="20" t="str"/>
      <x:c r="O158" s="20" t="str">
        <x:v>Existing</x:v>
      </x:c>
      <x:c r="P158" s="20" t="str">
        <x:v>No online correction applied because a single district was already provided.</x:v>
      </x:c>
    </x:row>
    <x:row r="159">
      <x:c r="A159" s="14" t="n">
        <x:v>159</x:v>
      </x:c>
      <x:c r="B159" s="14" t="str">
        <x:v>Wind</x:v>
      </x:c>
      <x:c r="C159" s="14" t="str">
        <x:v>operational</x:v>
      </x:c>
      <x:c r="D159" s="20" t="str">
        <x:v>Tamil Nadu-Karur</x:v>
      </x:c>
      <x:c r="E159" s="14" t="str">
        <x:v>Tamil Nadu</x:v>
      </x:c>
      <x:c r="F159" s="14" t="str">
        <x:v>Karur</x:v>
      </x:c>
      <x:c r="G159" s="14" t="str">
        <x:v>Karur</x:v>
      </x:c>
      <x:c r="H159" s="14"/>
      <x:c r="I159" s="15" t="n">
        <x:v>589.1025000000009</x:v>
      </x:c>
      <x:c r="J159" s="16" t="n">
        <x:v>1</x:v>
      </x:c>
      <x:c r="K159" s="15" t="n">
        <x:f>I159*J159</x:f>
        <x:v>589.1025000000009</x:v>
      </x:c>
      <x:c r="L159" s="20"/>
      <x:c r="M159" s="20" t="str">
        <x:v>District carried from original workbook</x:v>
      </x:c>
      <x:c r="N159" s="20" t="str"/>
      <x:c r="O159" s="20" t="str">
        <x:v>Existing</x:v>
      </x:c>
      <x:c r="P159" s="20" t="str">
        <x:v>No online correction applied because a single district was already provided.</x:v>
      </x:c>
    </x:row>
    <x:row r="160">
      <x:c r="A160" s="14" t="n">
        <x:v>160</x:v>
      </x:c>
      <x:c r="B160" s="14" t="str">
        <x:v>Wind</x:v>
      </x:c>
      <x:c r="C160" s="14" t="str">
        <x:v>operational</x:v>
      </x:c>
      <x:c r="D160" s="20" t="str">
        <x:v>Tamil Nadu-N.A.</x:v>
      </x:c>
      <x:c r="E160" s="14" t="str">
        <x:v>Tamil Nadu</x:v>
      </x:c>
      <x:c r="F160" s="14" t="str">
        <x:v>N.A.</x:v>
      </x:c>
      <x:c r="G160" s="14" t="str">
        <x:v>Ariyalur</x:v>
      </x:c>
      <x:c r="H160" s="14"/>
      <x:c r="I160" s="15" t="n">
        <x:v>279.51</x:v>
      </x:c>
      <x:c r="J160" s="16" t="n">
        <x:v>0.0017524964411377666</x:v>
      </x:c>
      <x:c r="K160" s="15" t="n">
        <x:f>I160*J160</x:f>
        <x:v>0.4898402802624171</x:v>
      </x:c>
      <x:c r="L160" s="20"/>
      <x:c r="M160" s="20" t="str">
        <x:v>Proportional proxy using known Wind capacity by district in PlantInfo</x:v>
      </x:c>
      <x:c r="N160" s="20" t="str">
        <x:v>https://iced.niti.gov.in/energy/electricity/generation/pipeline-capacity/wind</x:v>
      </x:c>
      <x:c r="O160" s="20" t="str">
        <x:v>Low</x:v>
      </x:c>
      <x:c r="P160" s="20" t="str">
        <x:v>This is a statewide/residual category, not a plant-level record. The allocation preserves the row total but is an analytical proxy, not an observed facility location.</x:v>
      </x:c>
    </x:row>
    <x:row r="161">
      <x:c r="A161" s="14" t="n">
        <x:v>160</x:v>
      </x:c>
      <x:c r="B161" s="14" t="str">
        <x:v>Wind</x:v>
      </x:c>
      <x:c r="C161" s="14" t="str">
        <x:v>operational</x:v>
      </x:c>
      <x:c r="D161" s="20" t="str">
        <x:v>Tamil Nadu-N.A.</x:v>
      </x:c>
      <x:c r="E161" s="14" t="str">
        <x:v>Tamil Nadu</x:v>
      </x:c>
      <x:c r="F161" s="14" t="str">
        <x:v>N.A.</x:v>
      </x:c>
      <x:c r="G161" s="14" t="str">
        <x:v>Chennai</x:v>
      </x:c>
      <x:c r="H161" s="14"/>
      <x:c r="I161" s="15" t="n">
        <x:v>279.51</x:v>
      </x:c>
      <x:c r="J161" s="16" t="n">
        <x:v>0.0002489341535707055</x:v>
      </x:c>
      <x:c r="K161" s="15" t="n">
        <x:f>I161*J161</x:f>
        <x:v>0.0695795852645479</x:v>
      </x:c>
      <x:c r="L161" s="20"/>
      <x:c r="M161" s="20" t="str">
        <x:v>Proportional proxy using known Wind capacity by district in PlantInfo</x:v>
      </x:c>
      <x:c r="N161" s="20" t="str">
        <x:v>https://iced.niti.gov.in/energy/electricity/generation/pipeline-capacity/wind</x:v>
      </x:c>
      <x:c r="O161" s="20" t="str">
        <x:v>Low</x:v>
      </x:c>
      <x:c r="P161" s="20" t="str">
        <x:v>This is a statewide/residual category, not a plant-level record. The allocation preserves the row total but is an analytical proxy, not an observed facility location.</x:v>
      </x:c>
    </x:row>
    <x:row r="162">
      <x:c r="A162" s="14" t="n">
        <x:v>160</x:v>
      </x:c>
      <x:c r="B162" s="14" t="str">
        <x:v>Wind</x:v>
      </x:c>
      <x:c r="C162" s="14" t="str">
        <x:v>operational</x:v>
      </x:c>
      <x:c r="D162" s="20" t="str">
        <x:v>Tamil Nadu-N.A.</x:v>
      </x:c>
      <x:c r="E162" s="14" t="str">
        <x:v>Tamil Nadu</x:v>
      </x:c>
      <x:c r="F162" s="14" t="str">
        <x:v>N.A.</x:v>
      </x:c>
      <x:c r="G162" s="14" t="str">
        <x:v>Coimbatore</x:v>
      </x:c>
      <x:c r="H162" s="14"/>
      <x:c r="I162" s="15" t="n">
        <x:v>279.51</x:v>
      </x:c>
      <x:c r="J162" s="16" t="n">
        <x:v>0.18004411591154845</x:v>
      </x:c>
      <x:c r="K162" s="15" t="n">
        <x:f>I162*J162</x:f>
        <x:v>50.32413083843691</x:v>
      </x:c>
      <x:c r="L162" s="20"/>
      <x:c r="M162" s="20" t="str">
        <x:v>Proportional proxy using known Wind capacity by district in PlantInfo</x:v>
      </x:c>
      <x:c r="N162" s="20" t="str">
        <x:v>https://iced.niti.gov.in/energy/electricity/generation/pipeline-capacity/wind</x:v>
      </x:c>
      <x:c r="O162" s="20" t="str">
        <x:v>Low</x:v>
      </x:c>
      <x:c r="P162" s="20" t="str">
        <x:v>This is a statewide/residual category, not a plant-level record. The allocation preserves the row total but is an analytical proxy, not an observed facility location.</x:v>
      </x:c>
    </x:row>
    <x:row r="163">
      <x:c r="A163" s="14" t="n">
        <x:v>160</x:v>
      </x:c>
      <x:c r="B163" s="14" t="str">
        <x:v>Wind</x:v>
      </x:c>
      <x:c r="C163" s="14" t="str">
        <x:v>operational</x:v>
      </x:c>
      <x:c r="D163" s="20" t="str">
        <x:v>Tamil Nadu-N.A.</x:v>
      </x:c>
      <x:c r="E163" s="14" t="str">
        <x:v>Tamil Nadu</x:v>
      </x:c>
      <x:c r="F163" s="14" t="str">
        <x:v>N.A.</x:v>
      </x:c>
      <x:c r="G163" s="14" t="str">
        <x:v>Dharmapuri</x:v>
      </x:c>
      <x:c r="H163" s="14"/>
      <x:c r="I163" s="15" t="n">
        <x:v>279.51</x:v>
      </x:c>
      <x:c r="J163" s="16" t="n">
        <x:v>0.015613150111954648</x:v>
      </x:c>
      <x:c r="K163" s="15" t="n">
        <x:f>I163*J163</x:f>
        <x:v>4.364031587792444</x:v>
      </x:c>
      <x:c r="L163" s="20"/>
      <x:c r="M163" s="20" t="str">
        <x:v>Proportional proxy using known Wind capacity by district in PlantInfo</x:v>
      </x:c>
      <x:c r="N163" s="20" t="str">
        <x:v>https://iced.niti.gov.in/energy/electricity/generation/pipeline-capacity/wind</x:v>
      </x:c>
      <x:c r="O163" s="20" t="str">
        <x:v>Low</x:v>
      </x:c>
      <x:c r="P163" s="20" t="str">
        <x:v>This is a statewide/residual category, not a plant-level record. The allocation preserves the row total but is an analytical proxy, not an observed facility location.</x:v>
      </x:c>
    </x:row>
    <x:row r="164">
      <x:c r="A164" s="14" t="n">
        <x:v>160</x:v>
      </x:c>
      <x:c r="B164" s="14" t="str">
        <x:v>Wind</x:v>
      </x:c>
      <x:c r="C164" s="14" t="str">
        <x:v>operational</x:v>
      </x:c>
      <x:c r="D164" s="20" t="str">
        <x:v>Tamil Nadu-N.A.</x:v>
      </x:c>
      <x:c r="E164" s="14" t="str">
        <x:v>Tamil Nadu</x:v>
      </x:c>
      <x:c r="F164" s="14" t="str">
        <x:v>N.A.</x:v>
      </x:c>
      <x:c r="G164" s="14" t="str">
        <x:v>Dindigul</x:v>
      </x:c>
      <x:c r="H164" s="14"/>
      <x:c r="I164" s="15" t="n">
        <x:v>279.51</x:v>
      </x:c>
      <x:c r="J164" s="16" t="n">
        <x:v>0.05060472876911301</x:v>
      </x:c>
      <x:c r="K164" s="15" t="n">
        <x:f>I164*J164</x:f>
        <x:v>14.144527738254776</x:v>
      </x:c>
      <x:c r="L164" s="20"/>
      <x:c r="M164" s="20" t="str">
        <x:v>Proportional proxy using known Wind capacity by district in PlantInfo</x:v>
      </x:c>
      <x:c r="N164" s="20" t="str">
        <x:v>https://iced.niti.gov.in/energy/electricity/generation/pipeline-capacity/wind</x:v>
      </x:c>
      <x:c r="O164" s="20" t="str">
        <x:v>Low</x:v>
      </x:c>
      <x:c r="P164" s="20" t="str">
        <x:v>This is a statewide/residual category, not a plant-level record. The allocation preserves the row total but is an analytical proxy, not an observed facility location.</x:v>
      </x:c>
    </x:row>
    <x:row r="165">
      <x:c r="A165" s="14" t="n">
        <x:v>160</x:v>
      </x:c>
      <x:c r="B165" s="14" t="str">
        <x:v>Wind</x:v>
      </x:c>
      <x:c r="C165" s="14" t="str">
        <x:v>operational</x:v>
      </x:c>
      <x:c r="D165" s="20" t="str">
        <x:v>Tamil Nadu-N.A.</x:v>
      </x:c>
      <x:c r="E165" s="14" t="str">
        <x:v>Tamil Nadu</x:v>
      </x:c>
      <x:c r="F165" s="14" t="str">
        <x:v>N.A.</x:v>
      </x:c>
      <x:c r="G165" s="14" t="str">
        <x:v>Erode</x:v>
      </x:c>
      <x:c r="H165" s="14"/>
      <x:c r="I165" s="15" t="n">
        <x:v>279.51</x:v>
      </x:c>
      <x:c r="J165" s="16" t="n">
        <x:v>0.01030228930601579</x:v>
      </x:c>
      <x:c r="K165" s="15" t="n">
        <x:f>I165*J165</x:f>
        <x:v>2.8795928839244733</x:v>
      </x:c>
      <x:c r="L165" s="20"/>
      <x:c r="M165" s="20" t="str">
        <x:v>Proportional proxy using known Wind capacity by district in PlantInfo</x:v>
      </x:c>
      <x:c r="N165" s="20" t="str">
        <x:v>https://iced.niti.gov.in/energy/electricity/generation/pipeline-capacity/wind</x:v>
      </x:c>
      <x:c r="O165" s="20" t="str">
        <x:v>Low</x:v>
      </x:c>
      <x:c r="P165" s="20" t="str">
        <x:v>This is a statewide/residual category, not a plant-level record. The allocation preserves the row total but is an analytical proxy, not an observed facility location.</x:v>
      </x:c>
    </x:row>
    <x:row r="166">
      <x:c r="A166" s="14" t="n">
        <x:v>160</x:v>
      </x:c>
      <x:c r="B166" s="14" t="str">
        <x:v>Wind</x:v>
      </x:c>
      <x:c r="C166" s="14" t="str">
        <x:v>operational</x:v>
      </x:c>
      <x:c r="D166" s="20" t="str">
        <x:v>Tamil Nadu-N.A.</x:v>
      </x:c>
      <x:c r="E166" s="14" t="str">
        <x:v>Tamil Nadu</x:v>
      </x:c>
      <x:c r="F166" s="14" t="str">
        <x:v>N.A.</x:v>
      </x:c>
      <x:c r="G166" s="14" t="str">
        <x:v>Kanchipuram</x:v>
      </x:c>
      <x:c r="H166" s="14"/>
      <x:c r="I166" s="15" t="n">
        <x:v>279.51</x:v>
      </x:c>
      <x:c r="J166" s="16" t="n">
        <x:v>0.000609390807941087</x:v>
      </x:c>
      <x:c r="K166" s="15" t="n">
        <x:f>I166*J166</x:f>
        <x:v>0.1703308247276132</x:v>
      </x:c>
      <x:c r="L166" s="20"/>
      <x:c r="M166" s="20" t="str">
        <x:v>Proportional proxy using known Wind capacity by district in PlantInfo</x:v>
      </x:c>
      <x:c r="N166" s="20" t="str">
        <x:v>https://iced.niti.gov.in/energy/electricity/generation/pipeline-capacity/wind</x:v>
      </x:c>
      <x:c r="O166" s="20" t="str">
        <x:v>Low</x:v>
      </x:c>
      <x:c r="P166" s="20" t="str">
        <x:v>This is a statewide/residual category, not a plant-level record. The allocation preserves the row total but is an analytical proxy, not an observed facility location.</x:v>
      </x:c>
    </x:row>
    <x:row r="167">
      <x:c r="A167" s="14" t="n">
        <x:v>160</x:v>
      </x:c>
      <x:c r="B167" s="14" t="str">
        <x:v>Wind</x:v>
      </x:c>
      <x:c r="C167" s="14" t="str">
        <x:v>operational</x:v>
      </x:c>
      <x:c r="D167" s="20" t="str">
        <x:v>Tamil Nadu-N.A.</x:v>
      </x:c>
      <x:c r="E167" s="14" t="str">
        <x:v>Tamil Nadu</x:v>
      </x:c>
      <x:c r="F167" s="14" t="str">
        <x:v>N.A.</x:v>
      </x:c>
      <x:c r="G167" s="14" t="str">
        <x:v>Kanyakumari</x:v>
      </x:c>
      <x:c r="H167" s="14"/>
      <x:c r="I167" s="15" t="n">
        <x:v>279.51</x:v>
      </x:c>
      <x:c r="J167" s="16" t="n">
        <x:v>0.027810923636919217</x:v>
      </x:c>
      <x:c r="K167" s="15" t="n">
        <x:f>I167*J167</x:f>
        <x:v>7.77343126575529</x:v>
      </x:c>
      <x:c r="L167" s="20"/>
      <x:c r="M167" s="20" t="str">
        <x:v>Proportional proxy using known Wind capacity by district in PlantInfo</x:v>
      </x:c>
      <x:c r="N167" s="20" t="str">
        <x:v>https://iced.niti.gov.in/energy/electricity/generation/pipeline-capacity/wind</x:v>
      </x:c>
      <x:c r="O167" s="20" t="str">
        <x:v>Low</x:v>
      </x:c>
      <x:c r="P167" s="20" t="str">
        <x:v>This is a statewide/residual category, not a plant-level record. The allocation preserves the row total but is an analytical proxy, not an observed facility location.</x:v>
      </x:c>
    </x:row>
    <x:row r="168">
      <x:c r="A168" s="14" t="n">
        <x:v>160</x:v>
      </x:c>
      <x:c r="B168" s="14" t="str">
        <x:v>Wind</x:v>
      </x:c>
      <x:c r="C168" s="14" t="str">
        <x:v>operational</x:v>
      </x:c>
      <x:c r="D168" s="20" t="str">
        <x:v>Tamil Nadu-N.A.</x:v>
      </x:c>
      <x:c r="E168" s="14" t="str">
        <x:v>Tamil Nadu</x:v>
      </x:c>
      <x:c r="F168" s="14" t="str">
        <x:v>N.A.</x:v>
      </x:c>
      <x:c r="G168" s="14" t="str">
        <x:v>Karur</x:v>
      </x:c>
      <x:c r="H168" s="14"/>
      <x:c r="I168" s="15" t="n">
        <x:v>279.51</x:v>
      </x:c>
      <x:c r="J168" s="16" t="n">
        <x:v>0.12447524182558993</x:v>
      </x:c>
      <x:c r="K168" s="15" t="n">
        <x:f>I168*J168</x:f>
        <x:v>34.79207484267064</x:v>
      </x:c>
      <x:c r="L168" s="20"/>
      <x:c r="M168" s="20" t="str">
        <x:v>Proportional proxy using known Wind capacity by district in PlantInfo</x:v>
      </x:c>
      <x:c r="N168" s="20" t="str">
        <x:v>https://iced.niti.gov.in/energy/electricity/generation/pipeline-capacity/wind</x:v>
      </x:c>
      <x:c r="O168" s="20" t="str">
        <x:v>Low</x:v>
      </x:c>
      <x:c r="P168" s="20" t="str">
        <x:v>This is a statewide/residual category, not a plant-level record. The allocation preserves the row total but is an analytical proxy, not an observed facility location.</x:v>
      </x:c>
    </x:row>
    <x:row r="169">
      <x:c r="A169" s="14" t="n">
        <x:v>160</x:v>
      </x:c>
      <x:c r="B169" s="14" t="str">
        <x:v>Wind</x:v>
      </x:c>
      <x:c r="C169" s="14" t="str">
        <x:v>operational</x:v>
      </x:c>
      <x:c r="D169" s="20" t="str">
        <x:v>Tamil Nadu-N.A.</x:v>
      </x:c>
      <x:c r="E169" s="14" t="str">
        <x:v>Tamil Nadu</x:v>
      </x:c>
      <x:c r="F169" s="14" t="str">
        <x:v>N.A.</x:v>
      </x:c>
      <x:c r="G169" s="14" t="str">
        <x:v>Ramanathapuram</x:v>
      </x:c>
      <x:c r="H169" s="14"/>
      <x:c r="I169" s="15" t="n">
        <x:v>279.51</x:v>
      </x:c>
      <x:c r="J169" s="16" t="n">
        <x:v>0.001386065367081688</x:v>
      </x:c>
      <x:c r="K169" s="15" t="n">
        <x:f>I169*J169</x:f>
        <x:v>0.3874191307530026</x:v>
      </x:c>
      <x:c r="L169" s="20"/>
      <x:c r="M169" s="20" t="str">
        <x:v>Proportional proxy using known Wind capacity by district in PlantInfo</x:v>
      </x:c>
      <x:c r="N169" s="20" t="str">
        <x:v>https://iced.niti.gov.in/energy/electricity/generation/pipeline-capacity/wind</x:v>
      </x:c>
      <x:c r="O169" s="20" t="str">
        <x:v>Low</x:v>
      </x:c>
      <x:c r="P169" s="20" t="str">
        <x:v>This is a statewide/residual category, not a plant-level record. The allocation preserves the row total but is an analytical proxy, not an observed facility location.</x:v>
      </x:c>
    </x:row>
    <x:row r="170">
      <x:c r="A170" s="14" t="n">
        <x:v>160</x:v>
      </x:c>
      <x:c r="B170" s="14" t="str">
        <x:v>Wind</x:v>
      </x:c>
      <x:c r="C170" s="14" t="str">
        <x:v>operational</x:v>
      </x:c>
      <x:c r="D170" s="20" t="str">
        <x:v>Tamil Nadu-N.A.</x:v>
      </x:c>
      <x:c r="E170" s="14" t="str">
        <x:v>Tamil Nadu</x:v>
      </x:c>
      <x:c r="F170" s="14" t="str">
        <x:v>N.A.</x:v>
      </x:c>
      <x:c r="G170" s="14" t="str">
        <x:v>Salem</x:v>
      </x:c>
      <x:c r="H170" s="14"/>
      <x:c r="I170" s="15" t="n">
        <x:v>279.51</x:v>
      </x:c>
      <x:c r="J170" s="16" t="n">
        <x:v>0.00027084035908492754</x:v>
      </x:c>
      <x:c r="K170" s="15" t="n">
        <x:f>I170*J170</x:f>
        <x:v>0.0757025887678281</x:v>
      </x:c>
      <x:c r="L170" s="20"/>
      <x:c r="M170" s="20" t="str">
        <x:v>Proportional proxy using known Wind capacity by district in PlantInfo</x:v>
      </x:c>
      <x:c r="N170" s="20" t="str">
        <x:v>https://iced.niti.gov.in/energy/electricity/generation/pipeline-capacity/wind</x:v>
      </x:c>
      <x:c r="O170" s="20" t="str">
        <x:v>Low</x:v>
      </x:c>
      <x:c r="P170" s="20" t="str">
        <x:v>This is a statewide/residual category, not a plant-level record. The allocation preserves the row total but is an analytical proxy, not an observed facility location.</x:v>
      </x:c>
    </x:row>
    <x:row r="171">
      <x:c r="A171" s="14" t="n">
        <x:v>160</x:v>
      </x:c>
      <x:c r="B171" s="14" t="str">
        <x:v>Wind</x:v>
      </x:c>
      <x:c r="C171" s="14" t="str">
        <x:v>operational</x:v>
      </x:c>
      <x:c r="D171" s="20" t="str">
        <x:v>Tamil Nadu-N.A.</x:v>
      </x:c>
      <x:c r="E171" s="14" t="str">
        <x:v>Tamil Nadu</x:v>
      </x:c>
      <x:c r="F171" s="14" t="str">
        <x:v>N.A.</x:v>
      </x:c>
      <x:c r="G171" s="14" t="str">
        <x:v>Thanjavur</x:v>
      </x:c>
      <x:c r="H171" s="14"/>
      <x:c r="I171" s="15" t="n">
        <x:v>279.51</x:v>
      </x:c>
      <x:c r="J171" s="16" t="n">
        <x:v>0.0007009985764551067</x:v>
      </x:c>
      <x:c r="K171" s="15" t="n">
        <x:f>I171*J171</x:f>
        <x:v>0.19593611210496686</x:v>
      </x:c>
      <x:c r="L171" s="20"/>
      <x:c r="M171" s="20" t="str">
        <x:v>Proportional proxy using known Wind capacity by district in PlantInfo</x:v>
      </x:c>
      <x:c r="N171" s="20" t="str">
        <x:v>https://iced.niti.gov.in/energy/electricity/generation/pipeline-capacity/wind</x:v>
      </x:c>
      <x:c r="O171" s="20" t="str">
        <x:v>Low</x:v>
      </x:c>
      <x:c r="P171" s="20" t="str">
        <x:v>This is a statewide/residual category, not a plant-level record. The allocation preserves the row total but is an analytical proxy, not an observed facility location.</x:v>
      </x:c>
    </x:row>
    <x:row r="172">
      <x:c r="A172" s="14" t="n">
        <x:v>160</x:v>
      </x:c>
      <x:c r="B172" s="14" t="str">
        <x:v>Wind</x:v>
      </x:c>
      <x:c r="C172" s="14" t="str">
        <x:v>operational</x:v>
      </x:c>
      <x:c r="D172" s="20" t="str">
        <x:v>Tamil Nadu-N.A.</x:v>
      </x:c>
      <x:c r="E172" s="14" t="str">
        <x:v>Tamil Nadu</x:v>
      </x:c>
      <x:c r="F172" s="14" t="str">
        <x:v>N.A.</x:v>
      </x:c>
      <x:c r="G172" s="14" t="str">
        <x:v>Theni</x:v>
      </x:c>
      <x:c r="H172" s="14"/>
      <x:c r="I172" s="15" t="n">
        <x:v>279.51</x:v>
      </x:c>
      <x:c r="J172" s="16" t="n">
        <x:v>0.04577202068535276</x:v>
      </x:c>
      <x:c r="K172" s="15" t="n">
        <x:f>I172*J172</x:f>
        <x:v>12.79373750176295</x:v>
      </x:c>
      <x:c r="L172" s="20"/>
      <x:c r="M172" s="20" t="str">
        <x:v>Proportional proxy using known Wind capacity by district in PlantInfo</x:v>
      </x:c>
      <x:c r="N172" s="20" t="str">
        <x:v>https://iced.niti.gov.in/energy/electricity/generation/pipeline-capacity/wind</x:v>
      </x:c>
      <x:c r="O172" s="20" t="str">
        <x:v>Low</x:v>
      </x:c>
      <x:c r="P172" s="20" t="str">
        <x:v>This is a statewide/residual category, not a plant-level record. The allocation preserves the row total but is an analytical proxy, not an observed facility location.</x:v>
      </x:c>
    </x:row>
    <x:row r="173">
      <x:c r="A173" s="14" t="n">
        <x:v>160</x:v>
      </x:c>
      <x:c r="B173" s="14" t="str">
        <x:v>Wind</x:v>
      </x:c>
      <x:c r="C173" s="14" t="str">
        <x:v>operational</x:v>
      </x:c>
      <x:c r="D173" s="20" t="str">
        <x:v>Tamil Nadu-N.A.</x:v>
      </x:c>
      <x:c r="E173" s="14" t="str">
        <x:v>Tamil Nadu</x:v>
      </x:c>
      <x:c r="F173" s="14" t="str">
        <x:v>N.A.</x:v>
      </x:c>
      <x:c r="G173" s="14" t="str">
        <x:v>Thoothukudi</x:v>
      </x:c>
      <x:c r="H173" s="14"/>
      <x:c r="I173" s="15" t="n">
        <x:v>279.51</x:v>
      </x:c>
      <x:c r="J173" s="16" t="n">
        <x:v>0.17320858320181973</x:v>
      </x:c>
      <x:c r="K173" s="15" t="n">
        <x:f>I173*J173</x:f>
        <x:v>48.41353109074063</x:v>
      </x:c>
      <x:c r="L173" s="20"/>
      <x:c r="M173" s="20" t="str">
        <x:v>Proportional proxy using known Wind capacity by district in PlantInfo</x:v>
      </x:c>
      <x:c r="N173" s="20" t="str">
        <x:v>https://iced.niti.gov.in/energy/electricity/generation/pipeline-capacity/wind</x:v>
      </x:c>
      <x:c r="O173" s="20" t="str">
        <x:v>Low</x:v>
      </x:c>
      <x:c r="P173" s="20" t="str">
        <x:v>This is a statewide/residual category, not a plant-level record. The allocation preserves the row total but is an analytical proxy, not an observed facility location.</x:v>
      </x:c>
    </x:row>
    <x:row r="174">
      <x:c r="A174" s="14" t="n">
        <x:v>160</x:v>
      </x:c>
      <x:c r="B174" s="14" t="str">
        <x:v>Wind</x:v>
      </x:c>
      <x:c r="C174" s="14" t="str">
        <x:v>operational</x:v>
      </x:c>
      <x:c r="D174" s="20" t="str">
        <x:v>Tamil Nadu-N.A.</x:v>
      </x:c>
      <x:c r="E174" s="14" t="str">
        <x:v>Tamil Nadu</x:v>
      </x:c>
      <x:c r="F174" s="14" t="str">
        <x:v>N.A.</x:v>
      </x:c>
      <x:c r="G174" s="14" t="str">
        <x:v>Tiruchirappalli</x:v>
      </x:c>
      <x:c r="H174" s="14"/>
      <x:c r="I174" s="15" t="n">
        <x:v>279.51</x:v>
      </x:c>
      <x:c r="J174" s="16" t="n">
        <x:v>0.0005098171465128049</x:v>
      </x:c>
      <x:c r="K174" s="15" t="n">
        <x:f>I174*J174</x:f>
        <x:v>0.14249899062179408</x:v>
      </x:c>
      <x:c r="L174" s="20"/>
      <x:c r="M174" s="20" t="str">
        <x:v>Proportional proxy using known Wind capacity by district in PlantInfo</x:v>
      </x:c>
      <x:c r="N174" s="20" t="str">
        <x:v>https://iced.niti.gov.in/energy/electricity/generation/pipeline-capacity/wind</x:v>
      </x:c>
      <x:c r="O174" s="20" t="str">
        <x:v>Low</x:v>
      </x:c>
      <x:c r="P174" s="20" t="str">
        <x:v>This is a statewide/residual category, not a plant-level record. The allocation preserves the row total but is an analytical proxy, not an observed facility location.</x:v>
      </x:c>
    </x:row>
    <x:row r="175">
      <x:c r="A175" s="14" t="n">
        <x:v>160</x:v>
      </x:c>
      <x:c r="B175" s="14" t="str">
        <x:v>Wind</x:v>
      </x:c>
      <x:c r="C175" s="14" t="str">
        <x:v>operational</x:v>
      </x:c>
      <x:c r="D175" s="20" t="str">
        <x:v>Tamil Nadu-N.A.</x:v>
      </x:c>
      <x:c r="E175" s="14" t="str">
        <x:v>Tamil Nadu</x:v>
      </x:c>
      <x:c r="F175" s="14" t="str">
        <x:v>N.A.</x:v>
      </x:c>
      <x:c r="G175" s="14" t="str">
        <x:v>Tirunelveli</x:v>
      </x:c>
      <x:c r="H175" s="14"/>
      <x:c r="I175" s="15" t="n">
        <x:v>279.51</x:v>
      </x:c>
      <x:c r="J175" s="16" t="n">
        <x:v>0.30330459889717787</x:v>
      </x:c>
      <x:c r="K175" s="15" t="n">
        <x:f>I175*J175</x:f>
        <x:v>84.77666843775019</x:v>
      </x:c>
      <x:c r="L175" s="20"/>
      <x:c r="M175" s="20" t="str">
        <x:v>Proportional proxy using known Wind capacity by district in PlantInfo</x:v>
      </x:c>
      <x:c r="N175" s="20" t="str">
        <x:v>https://iced.niti.gov.in/energy/electricity/generation/pipeline-capacity/wind</x:v>
      </x:c>
      <x:c r="O175" s="20" t="str">
        <x:v>Low</x:v>
      </x:c>
      <x:c r="P175" s="20" t="str">
        <x:v>This is a statewide/residual category, not a plant-level record. The allocation preserves the row total but is an analytical proxy, not an observed facility location.</x:v>
      </x:c>
    </x:row>
    <x:row r="176">
      <x:c r="A176" s="14" t="n">
        <x:v>160</x:v>
      </x:c>
      <x:c r="B176" s="14" t="str">
        <x:v>Wind</x:v>
      </x:c>
      <x:c r="C176" s="14" t="str">
        <x:v>operational</x:v>
      </x:c>
      <x:c r="D176" s="20" t="str">
        <x:v>Tamil Nadu-N.A.</x:v>
      </x:c>
      <x:c r="E176" s="14" t="str">
        <x:v>Tamil Nadu</x:v>
      </x:c>
      <x:c r="F176" s="14" t="str">
        <x:v>N.A.</x:v>
      </x:c>
      <x:c r="G176" s="14" t="str">
        <x:v>Tiruppur</x:v>
      </x:c>
      <x:c r="H176" s="14"/>
      <x:c r="I176" s="15" t="n">
        <x:v>279.51</x:v>
      </x:c>
      <x:c r="J176" s="16" t="n">
        <x:v>0.06267684033335508</x:v>
      </x:c>
      <x:c r="K176" s="15" t="n">
        <x:f>I176*J176</x:f>
        <x:v>17.518803641576078</x:v>
      </x:c>
      <x:c r="L176" s="20"/>
      <x:c r="M176" s="20" t="str">
        <x:v>Proportional proxy using known Wind capacity by district in PlantInfo</x:v>
      </x:c>
      <x:c r="N176" s="20" t="str">
        <x:v>https://iced.niti.gov.in/energy/electricity/generation/pipeline-capacity/wind</x:v>
      </x:c>
      <x:c r="O176" s="20" t="str">
        <x:v>Low</x:v>
      </x:c>
      <x:c r="P176" s="20" t="str">
        <x:v>This is a statewide/residual category, not a plant-level record. The allocation preserves the row total but is an analytical proxy, not an observed facility location.</x:v>
      </x:c>
    </x:row>
    <x:row r="177">
      <x:c r="A177" s="14" t="n">
        <x:v>160</x:v>
      </x:c>
      <x:c r="B177" s="14" t="str">
        <x:v>Wind</x:v>
      </x:c>
      <x:c r="C177" s="14" t="str">
        <x:v>operational</x:v>
      </x:c>
      <x:c r="D177" s="20" t="str">
        <x:v>Tamil Nadu-N.A.</x:v>
      </x:c>
      <x:c r="E177" s="14" t="str">
        <x:v>Tamil Nadu</x:v>
      </x:c>
      <x:c r="F177" s="14" t="str">
        <x:v>N.A.</x:v>
      </x:c>
      <x:c r="G177" s="14" t="str">
        <x:v>Tiruvallur</x:v>
      </x:c>
      <x:c r="H177" s="14"/>
      <x:c r="I177" s="15" t="n">
        <x:v>279.51</x:v>
      </x:c>
      <x:c r="J177" s="16" t="n">
        <x:v>0.0005735442898269055</x:v>
      </x:c>
      <x:c r="K177" s="15" t="n">
        <x:f>I177*J177</x:f>
        <x:v>0.16031136444951835</x:v>
      </x:c>
      <x:c r="L177" s="20"/>
      <x:c r="M177" s="20" t="str">
        <x:v>Proportional proxy using known Wind capacity by district in PlantInfo</x:v>
      </x:c>
      <x:c r="N177" s="20" t="str">
        <x:v>https://iced.niti.gov.in/energy/electricity/generation/pipeline-capacity/wind</x:v>
      </x:c>
      <x:c r="O177" s="20" t="str">
        <x:v>Low</x:v>
      </x:c>
      <x:c r="P177" s="20" t="str">
        <x:v>This is a statewide/residual category, not a plant-level record. The allocation preserves the row total but is an analytical proxy, not an observed facility location.</x:v>
      </x:c>
    </x:row>
    <x:row r="178">
      <x:c r="A178" s="14" t="n">
        <x:v>160</x:v>
      </x:c>
      <x:c r="B178" s="14" t="str">
        <x:v>Wind</x:v>
      </x:c>
      <x:c r="C178" s="14" t="str">
        <x:v>operational</x:v>
      </x:c>
      <x:c r="D178" s="20" t="str">
        <x:v>Tamil Nadu-N.A.</x:v>
      </x:c>
      <x:c r="E178" s="14" t="str">
        <x:v>Tamil Nadu</x:v>
      </x:c>
      <x:c r="F178" s="14" t="str">
        <x:v>N.A.</x:v>
      </x:c>
      <x:c r="G178" s="14" t="str">
        <x:v>Viluppuram</x:v>
      </x:c>
      <x:c r="H178" s="14"/>
      <x:c r="I178" s="15" t="n">
        <x:v>279.51</x:v>
      </x:c>
      <x:c r="J178" s="16" t="n">
        <x:v>0.00013542017954246377</x:v>
      </x:c>
      <x:c r="K178" s="15" t="n">
        <x:f>I178*J178</x:f>
        <x:v>0.03785129438391405</x:v>
      </x:c>
      <x:c r="L178" s="20"/>
      <x:c r="M178" s="20" t="str">
        <x:v>Proportional proxy using known Wind capacity by district in PlantInfo</x:v>
      </x:c>
      <x:c r="N178" s="20" t="str">
        <x:v>https://iced.niti.gov.in/energy/electricity/generation/pipeline-capacity/wind</x:v>
      </x:c>
      <x:c r="O178" s="20" t="str">
        <x:v>Low</x:v>
      </x:c>
      <x:c r="P178" s="20" t="str">
        <x:v>This is a statewide/residual category, not a plant-level record. The allocation preserves the row total but is an analytical proxy, not an observed facility location.</x:v>
      </x:c>
    </x:row>
    <x:row r="179">
      <x:c r="A179" s="14" t="n">
        <x:v>161</x:v>
      </x:c>
      <x:c r="B179" s="14" t="str">
        <x:v>Wind</x:v>
      </x:c>
      <x:c r="C179" s="14" t="str">
        <x:v>operational</x:v>
      </x:c>
      <x:c r="D179" s="20" t="str">
        <x:v>Tamil Nadu-Ramanathapuram</x:v>
      </x:c>
      <x:c r="E179" s="14" t="str">
        <x:v>Tamil Nadu</x:v>
      </x:c>
      <x:c r="F179" s="14" t="str">
        <x:v>Ramanathapuram</x:v>
      </x:c>
      <x:c r="G179" s="14" t="str">
        <x:v>Ramanathapuram</x:v>
      </x:c>
      <x:c r="H179" s="14"/>
      <x:c r="I179" s="15" t="n">
        <x:v>17.4</x:v>
      </x:c>
      <x:c r="J179" s="16" t="n">
        <x:v>1</x:v>
      </x:c>
      <x:c r="K179" s="15" t="n">
        <x:f>I179*J179</x:f>
        <x:v>17.4</x:v>
      </x:c>
      <x:c r="L179" s="20"/>
      <x:c r="M179" s="20" t="str">
        <x:v>District carried from original workbook</x:v>
      </x:c>
      <x:c r="N179" s="20" t="str"/>
      <x:c r="O179" s="20" t="str">
        <x:v>Existing</x:v>
      </x:c>
      <x:c r="P179" s="20" t="str">
        <x:v>No online correction applied because a single district was already provided.</x:v>
      </x:c>
    </x:row>
    <x:row r="180">
      <x:c r="A180" s="14" t="n">
        <x:v>162</x:v>
      </x:c>
      <x:c r="B180" s="14" t="str">
        <x:v>Wind</x:v>
      </x:c>
      <x:c r="C180" s="14" t="str">
        <x:v>operational</x:v>
      </x:c>
      <x:c r="D180" s="20" t="str">
        <x:v>Tamil Nadu-Salem</x:v>
      </x:c>
      <x:c r="E180" s="14" t="str">
        <x:v>Tamil Nadu</x:v>
      </x:c>
      <x:c r="F180" s="14" t="str">
        <x:v>Salem</x:v>
      </x:c>
      <x:c r="G180" s="14" t="str">
        <x:v>Salem</x:v>
      </x:c>
      <x:c r="H180" s="14"/>
      <x:c r="I180" s="15" t="n">
        <x:v>3.4</x:v>
      </x:c>
      <x:c r="J180" s="16" t="n">
        <x:v>1</x:v>
      </x:c>
      <x:c r="K180" s="15" t="n">
        <x:f>I180*J180</x:f>
        <x:v>3.4</x:v>
      </x:c>
      <x:c r="L180" s="20"/>
      <x:c r="M180" s="20" t="str">
        <x:v>District carried from original workbook</x:v>
      </x:c>
      <x:c r="N180" s="20" t="str"/>
      <x:c r="O180" s="20" t="str">
        <x:v>Existing</x:v>
      </x:c>
      <x:c r="P180" s="20" t="str">
        <x:v>No online correction applied because a single district was already provided.</x:v>
      </x:c>
    </x:row>
    <x:row r="181">
      <x:c r="A181" s="14" t="n">
        <x:v>163</x:v>
      </x:c>
      <x:c r="B181" s="14" t="str">
        <x:v>Wind</x:v>
      </x:c>
      <x:c r="C181" s="14" t="str">
        <x:v>operational</x:v>
      </x:c>
      <x:c r="D181" s="20" t="str">
        <x:v>Tamil Nadu-Thanjavur</x:v>
      </x:c>
      <x:c r="E181" s="14" t="str">
        <x:v>Tamil Nadu</x:v>
      </x:c>
      <x:c r="F181" s="14" t="str">
        <x:v>Thanjavur</x:v>
      </x:c>
      <x:c r="G181" s="14" t="str">
        <x:v>Thanjavur</x:v>
      </x:c>
      <x:c r="H181" s="14"/>
      <x:c r="I181" s="15" t="n">
        <x:v>8.8</x:v>
      </x:c>
      <x:c r="J181" s="16" t="n">
        <x:v>1</x:v>
      </x:c>
      <x:c r="K181" s="15" t="n">
        <x:f>I181*J181</x:f>
        <x:v>8.8</x:v>
      </x:c>
      <x:c r="L181" s="20"/>
      <x:c r="M181" s="20" t="str">
        <x:v>District carried from original workbook</x:v>
      </x:c>
      <x:c r="N181" s="20" t="str"/>
      <x:c r="O181" s="20" t="str">
        <x:v>Existing</x:v>
      </x:c>
      <x:c r="P181" s="20" t="str">
        <x:v>No online correction applied because a single district was already provided.</x:v>
      </x:c>
    </x:row>
    <x:row r="182">
      <x:c r="A182" s="14" t="n">
        <x:v>164</x:v>
      </x:c>
      <x:c r="B182" s="14" t="str">
        <x:v>Wind</x:v>
      </x:c>
      <x:c r="C182" s="14" t="str">
        <x:v>operational</x:v>
      </x:c>
      <x:c r="D182" s="20" t="str">
        <x:v>Tamil Nadu-Theni</x:v>
      </x:c>
      <x:c r="E182" s="14" t="str">
        <x:v>Tamil Nadu</x:v>
      </x:c>
      <x:c r="F182" s="14" t="str">
        <x:v>Theni</x:v>
      </x:c>
      <x:c r="G182" s="14" t="str">
        <x:v>Theni</x:v>
      </x:c>
      <x:c r="H182" s="14"/>
      <x:c r="I182" s="15" t="n">
        <x:v>574.6</x:v>
      </x:c>
      <x:c r="J182" s="16" t="n">
        <x:v>1</x:v>
      </x:c>
      <x:c r="K182" s="15" t="n">
        <x:f>I182*J182</x:f>
        <x:v>574.6</x:v>
      </x:c>
      <x:c r="L182" s="20"/>
      <x:c r="M182" s="20" t="str">
        <x:v>District carried from original workbook</x:v>
      </x:c>
      <x:c r="N182" s="20" t="str"/>
      <x:c r="O182" s="20" t="str">
        <x:v>Existing</x:v>
      </x:c>
      <x:c r="P182" s="20" t="str">
        <x:v>No online correction applied because a single district was already provided.</x:v>
      </x:c>
    </x:row>
    <x:row r="183">
      <x:c r="A183" s="14" t="n">
        <x:v>165</x:v>
      </x:c>
      <x:c r="B183" s="14" t="str">
        <x:v>Wind</x:v>
      </x:c>
      <x:c r="C183" s="14" t="str">
        <x:v>operational</x:v>
      </x:c>
      <x:c r="D183" s="20" t="str">
        <x:v>Tamil Nadu-Thiruvallur</x:v>
      </x:c>
      <x:c r="E183" s="14" t="str">
        <x:v>Tamil Nadu</x:v>
      </x:c>
      <x:c r="F183" s="14" t="str">
        <x:v>Thiruvallur</x:v>
      </x:c>
      <x:c r="G183" s="14" t="str">
        <x:v>Tiruvallur</x:v>
      </x:c>
      <x:c r="H183" s="14"/>
      <x:c r="I183" s="15" t="n">
        <x:v>7.2</x:v>
      </x:c>
      <x:c r="J183" s="16" t="n">
        <x:v>1</x:v>
      </x:c>
      <x:c r="K183" s="15" t="n">
        <x:f>I183*J183</x:f>
        <x:v>7.2</x:v>
      </x:c>
      <x:c r="L183" s="20"/>
      <x:c r="M183" s="20" t="str">
        <x:v>District carried from original workbook</x:v>
      </x:c>
      <x:c r="N183" s="20" t="str"/>
      <x:c r="O183" s="20" t="str">
        <x:v>Existing</x:v>
      </x:c>
      <x:c r="P183" s="20" t="str">
        <x:v>No online correction applied because a single district was already provided.</x:v>
      </x:c>
    </x:row>
    <x:row r="184">
      <x:c r="A184" s="14" t="n">
        <x:v>166</x:v>
      </x:c>
      <x:c r="B184" s="14" t="str">
        <x:v>Wind</x:v>
      </x:c>
      <x:c r="C184" s="14" t="str">
        <x:v>operational</x:v>
      </x:c>
      <x:c r="D184" s="20" t="str">
        <x:v>Tamil Nadu-Thoothukkudi</x:v>
      </x:c>
      <x:c r="E184" s="14" t="str">
        <x:v>Tamil Nadu</x:v>
      </x:c>
      <x:c r="F184" s="14" t="str">
        <x:v>Thoothukkudi</x:v>
      </x:c>
      <x:c r="G184" s="14" t="str">
        <x:v>Thoothukudi</x:v>
      </x:c>
      <x:c r="H184" s="14"/>
      <x:c r="I184" s="15" t="n">
        <x:v>2174.3775</x:v>
      </x:c>
      <x:c r="J184" s="16" t="n">
        <x:v>1</x:v>
      </x:c>
      <x:c r="K184" s="15" t="n">
        <x:f>I184*J184</x:f>
        <x:v>2174.3775</x:v>
      </x:c>
      <x:c r="L184" s="20"/>
      <x:c r="M184" s="20" t="str">
        <x:v>District carried from original workbook</x:v>
      </x:c>
      <x:c r="N184" s="20" t="str"/>
      <x:c r="O184" s="20" t="str">
        <x:v>Existing</x:v>
      </x:c>
      <x:c r="P184" s="20" t="str">
        <x:v>No online correction applied because a single district was already provided.</x:v>
      </x:c>
    </x:row>
    <x:row r="185">
      <x:c r="A185" s="14" t="n">
        <x:v>167</x:v>
      </x:c>
      <x:c r="B185" s="14" t="str">
        <x:v>Wind</x:v>
      </x:c>
      <x:c r="C185" s="14" t="str">
        <x:v>operational</x:v>
      </x:c>
      <x:c r="D185" s="20" t="str">
        <x:v>Tamil Nadu-Tiruchirappalli</x:v>
      </x:c>
      <x:c r="E185" s="14" t="str">
        <x:v>Tamil Nadu</x:v>
      </x:c>
      <x:c r="F185" s="14" t="str">
        <x:v>Tiruchirappalli</x:v>
      </x:c>
      <x:c r="G185" s="14" t="str">
        <x:v>Tiruchirappalli</x:v>
      </x:c>
      <x:c r="H185" s="14"/>
      <x:c r="I185" s="15" t="n">
        <x:v>6.4</x:v>
      </x:c>
      <x:c r="J185" s="16" t="n">
        <x:v>1</x:v>
      </x:c>
      <x:c r="K185" s="15" t="n">
        <x:f>I185*J185</x:f>
        <x:v>6.4</x:v>
      </x:c>
      <x:c r="L185" s="20"/>
      <x:c r="M185" s="20" t="str">
        <x:v>District carried from original workbook</x:v>
      </x:c>
      <x:c r="N185" s="20" t="str"/>
      <x:c r="O185" s="20" t="str">
        <x:v>Existing</x:v>
      </x:c>
      <x:c r="P185" s="20" t="str">
        <x:v>No online correction applied because a single district was already provided.</x:v>
      </x:c>
    </x:row>
    <x:row r="186">
      <x:c r="A186" s="14" t="n">
        <x:v>168</x:v>
      </x:c>
      <x:c r="B186" s="14" t="str">
        <x:v>Wind</x:v>
      </x:c>
      <x:c r="C186" s="14" t="str">
        <x:v>operational</x:v>
      </x:c>
      <x:c r="D186" s="20" t="str">
        <x:v>Tamil Nadu-Tirunelveli</x:v>
      </x:c>
      <x:c r="E186" s="14" t="str">
        <x:v>Tamil Nadu</x:v>
      </x:c>
      <x:c r="F186" s="14" t="str">
        <x:v>Tirunelveli</x:v>
      </x:c>
      <x:c r="G186" s="14" t="str">
        <x:v>Tirunelveli</x:v>
      </x:c>
      <x:c r="H186" s="14"/>
      <x:c r="I186" s="15" t="n">
        <x:v>3807.5405000000005</x:v>
      </x:c>
      <x:c r="J186" s="16" t="n">
        <x:v>1</x:v>
      </x:c>
      <x:c r="K186" s="15" t="n">
        <x:f>I186*J186</x:f>
        <x:v>3807.5405000000005</x:v>
      </x:c>
      <x:c r="L186" s="20"/>
      <x:c r="M186" s="20" t="str">
        <x:v>District carried from original workbook</x:v>
      </x:c>
      <x:c r="N186" s="20" t="str"/>
      <x:c r="O186" s="20" t="str">
        <x:v>Existing</x:v>
      </x:c>
      <x:c r="P186" s="20" t="str">
        <x:v>No online correction applied because a single district was already provided.</x:v>
      </x:c>
    </x:row>
    <x:row r="187">
      <x:c r="A187" s="14" t="n">
        <x:v>169</x:v>
      </x:c>
      <x:c r="B187" s="14" t="str">
        <x:v>Wind</x:v>
      </x:c>
      <x:c r="C187" s="14" t="str">
        <x:v>operational</x:v>
      </x:c>
      <x:c r="D187" s="20" t="str">
        <x:v>Tamil Nadu-Tiruppur</x:v>
      </x:c>
      <x:c r="E187" s="14" t="str">
        <x:v>Tamil Nadu</x:v>
      </x:c>
      <x:c r="F187" s="14" t="str">
        <x:v>Tiruppur</x:v>
      </x:c>
      <x:c r="G187" s="14" t="str">
        <x:v>Tiruppur</x:v>
      </x:c>
      <x:c r="H187" s="14"/>
      <x:c r="I187" s="15" t="n">
        <x:v>786.8149999999999</x:v>
      </x:c>
      <x:c r="J187" s="16" t="n">
        <x:v>1</x:v>
      </x:c>
      <x:c r="K187" s="15" t="n">
        <x:f>I187*J187</x:f>
        <x:v>786.8149999999999</x:v>
      </x:c>
      <x:c r="L187" s="20"/>
      <x:c r="M187" s="20" t="str">
        <x:v>District carried from original workbook</x:v>
      </x:c>
      <x:c r="N187" s="20" t="str"/>
      <x:c r="O187" s="20" t="str">
        <x:v>Existing</x:v>
      </x:c>
      <x:c r="P187" s="20" t="str">
        <x:v>No online correction applied because a single district was already provided.</x:v>
      </x:c>
    </x:row>
    <x:row r="188">
      <x:c r="A188" s="14" t="n">
        <x:v>170</x:v>
      </x:c>
      <x:c r="B188" s="14" t="str">
        <x:v>Wind</x:v>
      </x:c>
      <x:c r="C188" s="14" t="str">
        <x:v>operational</x:v>
      </x:c>
      <x:c r="D188" s="20" t="str">
        <x:v>Tamil Nadu-Tiruppur &amp; Karur</x:v>
      </x:c>
      <x:c r="E188" s="14" t="str">
        <x:v>Tamil Nadu</x:v>
      </x:c>
      <x:c r="F188" s="14" t="str">
        <x:v>Tiruppur &amp; Karur</x:v>
      </x:c>
      <x:c r="G188" s="14" t="str">
        <x:v>Tiruppur</x:v>
      </x:c>
      <x:c r="H188" s="14"/>
      <x:c r="I188" s="15" t="n">
        <x:v>300</x:v>
      </x:c>
      <x:c r="J188" s="16" t="n">
        <x:v>0.5</x:v>
      </x:c>
      <x:c r="K188" s="15" t="n">
        <x:f>I188*J188</x:f>
        <x:v>150</x:v>
      </x:c>
      <x:c r="L188" s="20"/>
      <x:c r="M188" s="20" t="str">
        <x:v>Equal split across districts named in the original row</x:v>
      </x:c>
      <x:c r="N188" s="20" t="str"/>
      <x:c r="O188" s="20" t="str">
        <x:v>Medium</x:v>
      </x:c>
      <x:c r="P188" s="20" t="str">
        <x:v>The source row identifies two districts but does not give district-specific shares.</x:v>
      </x:c>
    </x:row>
    <x:row r="189">
      <x:c r="A189" s="14" t="n">
        <x:v>170</x:v>
      </x:c>
      <x:c r="B189" s="14" t="str">
        <x:v>Wind</x:v>
      </x:c>
      <x:c r="C189" s="14" t="str">
        <x:v>operational</x:v>
      </x:c>
      <x:c r="D189" s="20" t="str">
        <x:v>Tamil Nadu-Tiruppur &amp; Karur</x:v>
      </x:c>
      <x:c r="E189" s="14" t="str">
        <x:v>Tamil Nadu</x:v>
      </x:c>
      <x:c r="F189" s="14" t="str">
        <x:v>Tiruppur &amp; Karur</x:v>
      </x:c>
      <x:c r="G189" s="14" t="str">
        <x:v>Karur</x:v>
      </x:c>
      <x:c r="H189" s="14"/>
      <x:c r="I189" s="15" t="n">
        <x:v>300</x:v>
      </x:c>
      <x:c r="J189" s="16" t="n">
        <x:v>0.5</x:v>
      </x:c>
      <x:c r="K189" s="15" t="n">
        <x:f>I189*J189</x:f>
        <x:v>150</x:v>
      </x:c>
      <x:c r="L189" s="20"/>
      <x:c r="M189" s="20" t="str">
        <x:v>Equal split across districts named in the original row</x:v>
      </x:c>
      <x:c r="N189" s="20" t="str"/>
      <x:c r="O189" s="20" t="str">
        <x:v>Medium</x:v>
      </x:c>
      <x:c r="P189" s="20" t="str">
        <x:v>The source row identifies two districts but does not give district-specific shares.</x:v>
      </x:c>
    </x:row>
    <x:row r="190">
      <x:c r="A190" s="14" t="n">
        <x:v>171</x:v>
      </x:c>
      <x:c r="B190" s="14" t="str">
        <x:v>Wind</x:v>
      </x:c>
      <x:c r="C190" s="14" t="str">
        <x:v>operational</x:v>
      </x:c>
      <x:c r="D190" s="20" t="str">
        <x:v>Tamil Nadu-Viluppuram</x:v>
      </x:c>
      <x:c r="E190" s="14" t="str">
        <x:v>Tamil Nadu</x:v>
      </x:c>
      <x:c r="F190" s="14" t="str">
        <x:v>Viluppuram</x:v>
      </x:c>
      <x:c r="G190" s="14" t="str">
        <x:v>Viluppuram</x:v>
      </x:c>
      <x:c r="H190" s="14"/>
      <x:c r="I190" s="15" t="n">
        <x:v>1.7</x:v>
      </x:c>
      <x:c r="J190" s="16" t="n">
        <x:v>1</x:v>
      </x:c>
      <x:c r="K190" s="15" t="n">
        <x:f>I190*J190</x:f>
        <x:v>1.7</x:v>
      </x:c>
      <x:c r="L190" s="20"/>
      <x:c r="M190" s="20" t="str">
        <x:v>District carried from original workbook</x:v>
      </x:c>
      <x:c r="N190" s="20" t="str"/>
      <x:c r="O190" s="20" t="str">
        <x:v>Existing</x:v>
      </x:c>
      <x:c r="P190" s="20" t="str">
        <x:v>No online correction applied because a single district was already provided.</x:v>
      </x:c>
    </x:row>
    <x:row r="191">
      <x:c r="A191" s="14" t="n">
        <x:v>172</x:v>
      </x:c>
      <x:c r="B191" s="14" t="str">
        <x:v>Solar</x:v>
      </x:c>
      <x:c r="C191" s="14" t="str">
        <x:v>pipeline</x:v>
      </x:c>
      <x:c r="D191" s="20" t="str">
        <x:v>INGEL Tamil Nadu 200.0</x:v>
      </x:c>
      <x:c r="E191" s="14" t="str">
        <x:v>Tamil Nadu</x:v>
      </x:c>
      <x:c r="F191" s="14" t="str">
        <x:v>Thoothukudi</x:v>
      </x:c>
      <x:c r="G191" s="14" t="str">
        <x:v>Thoothukudi</x:v>
      </x:c>
      <x:c r="H191" s="14" t="str">
        <x:v>2027-12-31</x:v>
      </x:c>
      <x:c r="I191" s="15" t="n">
        <x:v>200</x:v>
      </x:c>
      <x:c r="J191" s="16" t="n">
        <x:v>1</x:v>
      </x:c>
      <x:c r="K191" s="15" t="n">
        <x:f>I191*J191</x:f>
        <x:v>200</x:v>
      </x:c>
      <x:c r="L191" s="20" t="str">
        <x:v>INGEL</x:v>
      </x:c>
      <x:c r="M191" s="20" t="str">
        <x:v>District carried from original workbook</x:v>
      </x:c>
      <x:c r="N191" s="20" t="str"/>
      <x:c r="O191" s="20" t="str">
        <x:v>Existing</x:v>
      </x:c>
      <x:c r="P191" s="20" t="str">
        <x:v>No online correction applied because a single district was already provided.</x:v>
      </x:c>
    </x:row>
    <x:row r="192">
      <x:c r="A192" s="14" t="n">
        <x:v>173</x:v>
      </x:c>
      <x:c r="B192" s="14" t="str">
        <x:v>Solar</x:v>
      </x:c>
      <x:c r="C192" s="14" t="str">
        <x:v>operational</x:v>
      </x:c>
      <x:c r="D192" s="20" t="str">
        <x:v>Tamil Nadu Chennai 16</x:v>
      </x:c>
      <x:c r="E192" s="14" t="str">
        <x:v>Tamil Nadu</x:v>
      </x:c>
      <x:c r="F192" s="14" t="str">
        <x:v>Chennai</x:v>
      </x:c>
      <x:c r="G192" s="14" t="str">
        <x:v>Chennai</x:v>
      </x:c>
      <x:c r="H192" s="14"/>
      <x:c r="I192" s="15" t="n">
        <x:v>16</x:v>
      </x:c>
      <x:c r="J192" s="16" t="n">
        <x:v>1</x:v>
      </x:c>
      <x:c r="K192" s="15" t="n">
        <x:f>I192*J192</x:f>
        <x:v>16</x:v>
      </x:c>
      <x:c r="L192" s="20"/>
      <x:c r="M192" s="20" t="str">
        <x:v>District carried from original workbook</x:v>
      </x:c>
      <x:c r="N192" s="20" t="str"/>
      <x:c r="O192" s="20" t="str">
        <x:v>Existing</x:v>
      </x:c>
      <x:c r="P192" s="20" t="str">
        <x:v>No online correction applied because a single district was already provided.</x:v>
      </x:c>
    </x:row>
    <x:row r="193">
      <x:c r="A193" s="14" t="n">
        <x:v>174</x:v>
      </x:c>
      <x:c r="B193" s="14" t="str">
        <x:v>Solar</x:v>
      </x:c>
      <x:c r="C193" s="14" t="str">
        <x:v>operational</x:v>
      </x:c>
      <x:c r="D193" s="20" t="str">
        <x:v>Tamil Nadu Coimbatore 11.26</x:v>
      </x:c>
      <x:c r="E193" s="14" t="str">
        <x:v>Tamil Nadu</x:v>
      </x:c>
      <x:c r="F193" s="14" t="str">
        <x:v>Coimbatore</x:v>
      </x:c>
      <x:c r="G193" s="14" t="str">
        <x:v>Coimbatore</x:v>
      </x:c>
      <x:c r="H193" s="14"/>
      <x:c r="I193" s="15" t="n">
        <x:v>11.26</x:v>
      </x:c>
      <x:c r="J193" s="16" t="n">
        <x:v>1</x:v>
      </x:c>
      <x:c r="K193" s="15" t="n">
        <x:f>I193*J193</x:f>
        <x:v>11.26</x:v>
      </x:c>
      <x:c r="L193" s="20"/>
      <x:c r="M193" s="20" t="str">
        <x:v>District carried from original workbook</x:v>
      </x:c>
      <x:c r="N193" s="20" t="str"/>
      <x:c r="O193" s="20" t="str">
        <x:v>Existing</x:v>
      </x:c>
      <x:c r="P193" s="20" t="str">
        <x:v>No online correction applied because a single district was already provided.</x:v>
      </x:c>
    </x:row>
    <x:row r="194">
      <x:c r="A194" s="14" t="n">
        <x:v>175</x:v>
      </x:c>
      <x:c r="B194" s="14" t="str">
        <x:v>Solar</x:v>
      </x:c>
      <x:c r="C194" s="14" t="str">
        <x:v>operational</x:v>
      </x:c>
      <x:c r="D194" s="20" t="str">
        <x:v>Tamil Nadu Cuddalore 140</x:v>
      </x:c>
      <x:c r="E194" s="14" t="str">
        <x:v>Tamil Nadu</x:v>
      </x:c>
      <x:c r="F194" s="14" t="str">
        <x:v>Cuddalore</x:v>
      </x:c>
      <x:c r="G194" s="14" t="str">
        <x:v>Cuddalore</x:v>
      </x:c>
      <x:c r="H194" s="14"/>
      <x:c r="I194" s="15" t="n">
        <x:v>140</x:v>
      </x:c>
      <x:c r="J194" s="16" t="n">
        <x:v>1</x:v>
      </x:c>
      <x:c r="K194" s="15" t="n">
        <x:f>I194*J194</x:f>
        <x:v>140</x:v>
      </x:c>
      <x:c r="L194" s="20"/>
      <x:c r="M194" s="20" t="str">
        <x:v>District carried from original workbook</x:v>
      </x:c>
      <x:c r="N194" s="20" t="str"/>
      <x:c r="O194" s="20" t="str">
        <x:v>Existing</x:v>
      </x:c>
      <x:c r="P194" s="20" t="str">
        <x:v>No online correction applied because a single district was already provided.</x:v>
      </x:c>
    </x:row>
    <x:row r="195">
      <x:c r="A195" s="14" t="n">
        <x:v>176</x:v>
      </x:c>
      <x:c r="B195" s="14" t="str">
        <x:v>Solar</x:v>
      </x:c>
      <x:c r="C195" s="14" t="str">
        <x:v>operational</x:v>
      </x:c>
      <x:c r="D195" s="20" t="str">
        <x:v>Tamil Nadu Dindigul 109.46</x:v>
      </x:c>
      <x:c r="E195" s="14" t="str">
        <x:v>Tamil Nadu</x:v>
      </x:c>
      <x:c r="F195" s="14" t="str">
        <x:v>Dindigul</x:v>
      </x:c>
      <x:c r="G195" s="14" t="str">
        <x:v>Dindigul</x:v>
      </x:c>
      <x:c r="H195" s="14"/>
      <x:c r="I195" s="15" t="n">
        <x:v>109.46</x:v>
      </x:c>
      <x:c r="J195" s="16" t="n">
        <x:v>1</x:v>
      </x:c>
      <x:c r="K195" s="15" t="n">
        <x:f>I195*J195</x:f>
        <x:v>109.46</x:v>
      </x:c>
      <x:c r="L195" s="20"/>
      <x:c r="M195" s="20" t="str">
        <x:v>District carried from original workbook</x:v>
      </x:c>
      <x:c r="N195" s="20" t="str"/>
      <x:c r="O195" s="20" t="str">
        <x:v>Existing</x:v>
      </x:c>
      <x:c r="P195" s="20" t="str">
        <x:v>No online correction applied because a single district was already provided.</x:v>
      </x:c>
    </x:row>
    <x:row r="196">
      <x:c r="A196" s="14" t="n">
        <x:v>177</x:v>
      </x:c>
      <x:c r="B196" s="14" t="str">
        <x:v>Solar</x:v>
      </x:c>
      <x:c r="C196" s="14" t="str">
        <x:v>operational</x:v>
      </x:c>
      <x:c r="D196" s="20" t="str">
        <x:v>Tamil Nadu Erode  7</x:v>
      </x:c>
      <x:c r="E196" s="14" t="str">
        <x:v>Tamil Nadu</x:v>
      </x:c>
      <x:c r="F196" s="14" t="str">
        <x:v>Erode</x:v>
      </x:c>
      <x:c r="G196" s="14" t="str">
        <x:v>Erode</x:v>
      </x:c>
      <x:c r="H196" s="14"/>
      <x:c r="I196" s="15" t="n">
        <x:v>7</x:v>
      </x:c>
      <x:c r="J196" s="16" t="n">
        <x:v>1</x:v>
      </x:c>
      <x:c r="K196" s="15" t="n">
        <x:f>I196*J196</x:f>
        <x:v>7</x:v>
      </x:c>
      <x:c r="L196" s="20"/>
      <x:c r="M196" s="20" t="str">
        <x:v>District carried from original workbook</x:v>
      </x:c>
      <x:c r="N196" s="20" t="str"/>
      <x:c r="O196" s="20" t="str">
        <x:v>Existing</x:v>
      </x:c>
      <x:c r="P196" s="20" t="str">
        <x:v>No online correction applied because a single district was already provided.</x:v>
      </x:c>
    </x:row>
    <x:row r="197">
      <x:c r="A197" s="14" t="n">
        <x:v>178</x:v>
      </x:c>
      <x:c r="B197" s="14" t="str">
        <x:v>Solar</x:v>
      </x:c>
      <x:c r="C197" s="14" t="str">
        <x:v>operational</x:v>
      </x:c>
      <x:c r="D197" s="20" t="str">
        <x:v>Tamil Nadu Kanniyakumari 1</x:v>
      </x:c>
      <x:c r="E197" s="14" t="str">
        <x:v>Tamil Nadu</x:v>
      </x:c>
      <x:c r="F197" s="14" t="str">
        <x:v>Kanniyakumari</x:v>
      </x:c>
      <x:c r="G197" s="14" t="str">
        <x:v>Kanyakumari</x:v>
      </x:c>
      <x:c r="H197" s="14"/>
      <x:c r="I197" s="15" t="n">
        <x:v>1</x:v>
      </x:c>
      <x:c r="J197" s="16" t="n">
        <x:v>1</x:v>
      </x:c>
      <x:c r="K197" s="15" t="n">
        <x:f>I197*J197</x:f>
        <x:v>1</x:v>
      </x:c>
      <x:c r="L197" s="20"/>
      <x:c r="M197" s="20" t="str">
        <x:v>District carried from original workbook</x:v>
      </x:c>
      <x:c r="N197" s="20" t="str"/>
      <x:c r="O197" s="20" t="str">
        <x:v>Existing</x:v>
      </x:c>
      <x:c r="P197" s="20" t="str">
        <x:v>No online correction applied because a single district was already provided.</x:v>
      </x:c>
    </x:row>
    <x:row r="198">
      <x:c r="A198" s="14" t="n">
        <x:v>179</x:v>
      </x:c>
      <x:c r="B198" s="14" t="str">
        <x:v>Solar</x:v>
      </x:c>
      <x:c r="C198" s="14" t="str">
        <x:v>operational</x:v>
      </x:c>
      <x:c r="D198" s="20" t="str">
        <x:v>Tamil Nadu Karur 156.49</x:v>
      </x:c>
      <x:c r="E198" s="14" t="str">
        <x:v>Tamil Nadu</x:v>
      </x:c>
      <x:c r="F198" s="14" t="str">
        <x:v>Karur</x:v>
      </x:c>
      <x:c r="G198" s="14" t="str">
        <x:v>Karur</x:v>
      </x:c>
      <x:c r="H198" s="14"/>
      <x:c r="I198" s="15" t="n">
        <x:v>156.49</x:v>
      </x:c>
      <x:c r="J198" s="16" t="n">
        <x:v>1</x:v>
      </x:c>
      <x:c r="K198" s="15" t="n">
        <x:f>I198*J198</x:f>
        <x:v>156.49</x:v>
      </x:c>
      <x:c r="L198" s="20"/>
      <x:c r="M198" s="20" t="str">
        <x:v>District carried from original workbook</x:v>
      </x:c>
      <x:c r="N198" s="20" t="str"/>
      <x:c r="O198" s="20" t="str">
        <x:v>Existing</x:v>
      </x:c>
      <x:c r="P198" s="20" t="str">
        <x:v>No online correction applied because a single district was already provided.</x:v>
      </x:c>
    </x:row>
    <x:row r="199">
      <x:c r="A199" s="14" t="n">
        <x:v>180</x:v>
      </x:c>
      <x:c r="B199" s="14" t="str">
        <x:v>Solar</x:v>
      </x:c>
      <x:c r="C199" s="14" t="str">
        <x:v>operational</x:v>
      </x:c>
      <x:c r="D199" s="20" t="str">
        <x:v>Tamil Nadu Krishnagiri 0.75</x:v>
      </x:c>
      <x:c r="E199" s="14" t="str">
        <x:v>Tamil Nadu</x:v>
      </x:c>
      <x:c r="F199" s="14" t="str">
        <x:v>Krishnagiri</x:v>
      </x:c>
      <x:c r="G199" s="14" t="str">
        <x:v>Krishnagiri</x:v>
      </x:c>
      <x:c r="H199" s="14"/>
      <x:c r="I199" s="15" t="n">
        <x:v>0.75</x:v>
      </x:c>
      <x:c r="J199" s="16" t="n">
        <x:v>1</x:v>
      </x:c>
      <x:c r="K199" s="15" t="n">
        <x:f>I199*J199</x:f>
        <x:v>0.75</x:v>
      </x:c>
      <x:c r="L199" s="20"/>
      <x:c r="M199" s="20" t="str">
        <x:v>District carried from original workbook</x:v>
      </x:c>
      <x:c r="N199" s="20" t="str"/>
      <x:c r="O199" s="20" t="str">
        <x:v>Existing</x:v>
      </x:c>
      <x:c r="P199" s="20" t="str">
        <x:v>No online correction applied because a single district was already provided.</x:v>
      </x:c>
    </x:row>
    <x:row r="200">
      <x:c r="A200" s="14" t="n">
        <x:v>181</x:v>
      </x:c>
      <x:c r="B200" s="14" t="str">
        <x:v>Solar</x:v>
      </x:c>
      <x:c r="C200" s="14" t="str">
        <x:v>operational</x:v>
      </x:c>
      <x:c r="D200" s="20" t="str">
        <x:v>Tamil Nadu Madurai 1</x:v>
      </x:c>
      <x:c r="E200" s="14" t="str">
        <x:v>Tamil Nadu</x:v>
      </x:c>
      <x:c r="F200" s="14" t="str">
        <x:v>Madurai</x:v>
      </x:c>
      <x:c r="G200" s="14" t="str">
        <x:v>Madurai</x:v>
      </x:c>
      <x:c r="H200" s="14"/>
      <x:c r="I200" s="15" t="n">
        <x:v>1</x:v>
      </x:c>
      <x:c r="J200" s="16" t="n">
        <x:v>1</x:v>
      </x:c>
      <x:c r="K200" s="15" t="n">
        <x:f>I200*J200</x:f>
        <x:v>1</x:v>
      </x:c>
      <x:c r="L200" s="20"/>
      <x:c r="M200" s="20" t="str">
        <x:v>District carried from original workbook</x:v>
      </x:c>
      <x:c r="N200" s="20" t="str"/>
      <x:c r="O200" s="20" t="str">
        <x:v>Existing</x:v>
      </x:c>
      <x:c r="P200" s="20" t="str">
        <x:v>No online correction applied because a single district was already provided.</x:v>
      </x:c>
    </x:row>
    <x:row r="201">
      <x:c r="A201" s="14" t="n">
        <x:v>182</x:v>
      </x:c>
      <x:c r="B201" s="14" t="str">
        <x:v>Solar</x:v>
      </x:c>
      <x:c r="C201" s="14" t="str">
        <x:v>operational</x:v>
      </x:c>
      <x:c r="D201" s="20" t="str">
        <x:v>Tamil Nadu N.A. 251</x:v>
      </x:c>
      <x:c r="E201" s="14" t="str">
        <x:v>Tamil Nadu</x:v>
      </x:c>
      <x:c r="F201" s="14" t="str">
        <x:v>N.A.</x:v>
      </x:c>
      <x:c r="G201" s="14" t="str">
        <x:v>Chennai</x:v>
      </x:c>
      <x:c r="H201" s="14"/>
      <x:c r="I201" s="15" t="n">
        <x:v>251</x:v>
      </x:c>
      <x:c r="J201" s="16" t="n">
        <x:v>0.005585480543327619</x:v>
      </x:c>
      <x:c r="K201" s="15" t="n">
        <x:f>I201*J201</x:f>
        <x:v>1.4019556163752325</x:v>
      </x:c>
      <x:c r="L201" s="20"/>
      <x:c r="M201" s="20" t="str">
        <x:v>Proportional proxy using known Solar capacity by district in PlantInfo</x:v>
      </x:c>
      <x:c r="N201" s="20" t="str">
        <x:v>https://mnre.gov.in/en/physical-progress/</x:v>
      </x:c>
      <x:c r="O201" s="20" t="str">
        <x:v>Low</x:v>
      </x:c>
      <x:c r="P201" s="20" t="str">
        <x:v>This is a statewide/residual category, not a plant-level record. The allocation preserves the row total but is an analytical proxy, not an observed facility location.</x:v>
      </x:c>
    </x:row>
    <x:row r="202">
      <x:c r="A202" s="14" t="n">
        <x:v>182</x:v>
      </x:c>
      <x:c r="B202" s="14" t="str">
        <x:v>Solar</x:v>
      </x:c>
      <x:c r="C202" s="14" t="str">
        <x:v>operational</x:v>
      </x:c>
      <x:c r="D202" s="20" t="str">
        <x:v>Tamil Nadu N.A. 251</x:v>
      </x:c>
      <x:c r="E202" s="14" t="str">
        <x:v>Tamil Nadu</x:v>
      </x:c>
      <x:c r="F202" s="14" t="str">
        <x:v>N.A.</x:v>
      </x:c>
      <x:c r="G202" s="14" t="str">
        <x:v>Coimbatore</x:v>
      </x:c>
      <x:c r="H202" s="14"/>
      <x:c r="I202" s="15" t="n">
        <x:v>251</x:v>
      </x:c>
      <x:c r="J202" s="16" t="n">
        <x:v>0.003930781932366812</x:v>
      </x:c>
      <x:c r="K202" s="15" t="n">
        <x:f>I202*J202</x:f>
        <x:v>0.9866262650240697</x:v>
      </x:c>
      <x:c r="L202" s="20"/>
      <x:c r="M202" s="20" t="str">
        <x:v>Proportional proxy using known Solar capacity by district in PlantInfo</x:v>
      </x:c>
      <x:c r="N202" s="20" t="str">
        <x:v>https://mnre.gov.in/en/physical-progress/</x:v>
      </x:c>
      <x:c r="O202" s="20" t="str">
        <x:v>Low</x:v>
      </x:c>
      <x:c r="P202" s="20" t="str">
        <x:v>This is a statewide/residual category, not a plant-level record. The allocation preserves the row total but is an analytical proxy, not an observed facility location.</x:v>
      </x:c>
    </x:row>
    <x:row r="203">
      <x:c r="A203" s="14" t="n">
        <x:v>182</x:v>
      </x:c>
      <x:c r="B203" s="14" t="str">
        <x:v>Solar</x:v>
      </x:c>
      <x:c r="C203" s="14" t="str">
        <x:v>operational</x:v>
      </x:c>
      <x:c r="D203" s="20" t="str">
        <x:v>Tamil Nadu N.A. 251</x:v>
      </x:c>
      <x:c r="E203" s="14" t="str">
        <x:v>Tamil Nadu</x:v>
      </x:c>
      <x:c r="F203" s="14" t="str">
        <x:v>N.A.</x:v>
      </x:c>
      <x:c r="G203" s="14" t="str">
        <x:v>Cuddalore</x:v>
      </x:c>
      <x:c r="H203" s="14"/>
      <x:c r="I203" s="15" t="n">
        <x:v>251</x:v>
      </x:c>
      <x:c r="J203" s="16" t="n">
        <x:v>0.04887295475411667</x:v>
      </x:c>
      <x:c r="K203" s="15" t="n">
        <x:f>I203*J203</x:f>
        <x:v>12.267111643283284</x:v>
      </x:c>
      <x:c r="L203" s="20"/>
      <x:c r="M203" s="20" t="str">
        <x:v>Proportional proxy using known Solar capacity by district in PlantInfo</x:v>
      </x:c>
      <x:c r="N203" s="20" t="str">
        <x:v>https://mnre.gov.in/en/physical-progress/</x:v>
      </x:c>
      <x:c r="O203" s="20" t="str">
        <x:v>Low</x:v>
      </x:c>
      <x:c r="P203" s="20" t="str">
        <x:v>This is a statewide/residual category, not a plant-level record. The allocation preserves the row total but is an analytical proxy, not an observed facility location.</x:v>
      </x:c>
    </x:row>
    <x:row r="204">
      <x:c r="A204" s="14" t="n">
        <x:v>182</x:v>
      </x:c>
      <x:c r="B204" s="14" t="str">
        <x:v>Solar</x:v>
      </x:c>
      <x:c r="C204" s="14" t="str">
        <x:v>operational</x:v>
      </x:c>
      <x:c r="D204" s="20" t="str">
        <x:v>Tamil Nadu N.A. 251</x:v>
      </x:c>
      <x:c r="E204" s="14" t="str">
        <x:v>Tamil Nadu</x:v>
      </x:c>
      <x:c r="F204" s="14" t="str">
        <x:v>N.A.</x:v>
      </x:c>
      <x:c r="G204" s="14" t="str">
        <x:v>Dindigul</x:v>
      </x:c>
      <x:c r="H204" s="14"/>
      <x:c r="I204" s="15" t="n">
        <x:v>251</x:v>
      </x:c>
      <x:c r="J204" s="16" t="n">
        <x:v>0.038211668767040075</x:v>
      </x:c>
      <x:c r="K204" s="15" t="n">
        <x:f>I204*J204</x:f>
        <x:v>9.591128860527059</x:v>
      </x:c>
      <x:c r="L204" s="20"/>
      <x:c r="M204" s="20" t="str">
        <x:v>Proportional proxy using known Solar capacity by district in PlantInfo</x:v>
      </x:c>
      <x:c r="N204" s="20" t="str">
        <x:v>https://mnre.gov.in/en/physical-progress/</x:v>
      </x:c>
      <x:c r="O204" s="20" t="str">
        <x:v>Low</x:v>
      </x:c>
      <x:c r="P204" s="20" t="str">
        <x:v>This is a statewide/residual category, not a plant-level record. The allocation preserves the row total but is an analytical proxy, not an observed facility location.</x:v>
      </x:c>
    </x:row>
    <x:row r="205">
      <x:c r="A205" s="14" t="n">
        <x:v>182</x:v>
      </x:c>
      <x:c r="B205" s="14" t="str">
        <x:v>Solar</x:v>
      </x:c>
      <x:c r="C205" s="14" t="str">
        <x:v>operational</x:v>
      </x:c>
      <x:c r="D205" s="20" t="str">
        <x:v>Tamil Nadu N.A. 251</x:v>
      </x:c>
      <x:c r="E205" s="14" t="str">
        <x:v>Tamil Nadu</x:v>
      </x:c>
      <x:c r="F205" s="14" t="str">
        <x:v>N.A.</x:v>
      </x:c>
      <x:c r="G205" s="14" t="str">
        <x:v>Erode</x:v>
      </x:c>
      <x:c r="H205" s="14"/>
      <x:c r="I205" s="15" t="n">
        <x:v>251</x:v>
      </x:c>
      <x:c r="J205" s="16" t="n">
        <x:v>0.0024436477377058337</x:v>
      </x:c>
      <x:c r="K205" s="15" t="n">
        <x:f>I205*J205</x:f>
        <x:v>0.6133555821641643</x:v>
      </x:c>
      <x:c r="L205" s="20"/>
      <x:c r="M205" s="20" t="str">
        <x:v>Proportional proxy using known Solar capacity by district in PlantInfo</x:v>
      </x:c>
      <x:c r="N205" s="20" t="str">
        <x:v>https://mnre.gov.in/en/physical-progress/</x:v>
      </x:c>
      <x:c r="O205" s="20" t="str">
        <x:v>Low</x:v>
      </x:c>
      <x:c r="P205" s="20" t="str">
        <x:v>This is a statewide/residual category, not a plant-level record. The allocation preserves the row total but is an analytical proxy, not an observed facility location.</x:v>
      </x:c>
    </x:row>
    <x:row r="206">
      <x:c r="A206" s="14" t="n">
        <x:v>182</x:v>
      </x:c>
      <x:c r="B206" s="14" t="str">
        <x:v>Solar</x:v>
      </x:c>
      <x:c r="C206" s="14" t="str">
        <x:v>operational</x:v>
      </x:c>
      <x:c r="D206" s="20" t="str">
        <x:v>Tamil Nadu N.A. 251</x:v>
      </x:c>
      <x:c r="E206" s="14" t="str">
        <x:v>Tamil Nadu</x:v>
      </x:c>
      <x:c r="F206" s="14" t="str">
        <x:v>N.A.</x:v>
      </x:c>
      <x:c r="G206" s="14" t="str">
        <x:v>Kanyakumari</x:v>
      </x:c>
      <x:c r="H206" s="14"/>
      <x:c r="I206" s="15" t="n">
        <x:v>251</x:v>
      </x:c>
      <x:c r="J206" s="16" t="n">
        <x:v>0.0003490925339579762</x:v>
      </x:c>
      <x:c r="K206" s="15" t="n">
        <x:f>I206*J206</x:f>
        <x:v>0.08762222602345203</x:v>
      </x:c>
      <x:c r="L206" s="20"/>
      <x:c r="M206" s="20" t="str">
        <x:v>Proportional proxy using known Solar capacity by district in PlantInfo</x:v>
      </x:c>
      <x:c r="N206" s="20" t="str">
        <x:v>https://mnre.gov.in/en/physical-progress/</x:v>
      </x:c>
      <x:c r="O206" s="20" t="str">
        <x:v>Low</x:v>
      </x:c>
      <x:c r="P206" s="20" t="str">
        <x:v>This is a statewide/residual category, not a plant-level record. The allocation preserves the row total but is an analytical proxy, not an observed facility location.</x:v>
      </x:c>
    </x:row>
    <x:row r="207">
      <x:c r="A207" s="14" t="n">
        <x:v>182</x:v>
      </x:c>
      <x:c r="B207" s="14" t="str">
        <x:v>Solar</x:v>
      </x:c>
      <x:c r="C207" s="14" t="str">
        <x:v>operational</x:v>
      </x:c>
      <x:c r="D207" s="20" t="str">
        <x:v>Tamil Nadu N.A. 251</x:v>
      </x:c>
      <x:c r="E207" s="14" t="str">
        <x:v>Tamil Nadu</x:v>
      </x:c>
      <x:c r="F207" s="14" t="str">
        <x:v>N.A.</x:v>
      </x:c>
      <x:c r="G207" s="14" t="str">
        <x:v>Karur</x:v>
      </x:c>
      <x:c r="H207" s="14"/>
      <x:c r="I207" s="15" t="n">
        <x:v>251</x:v>
      </x:c>
      <x:c r="J207" s="16" t="n">
        <x:v>0.054629490639083705</x:v>
      </x:c>
      <x:c r="K207" s="15" t="n">
        <x:f>I207*J207</x:f>
        <x:v>13.71200215041001</x:v>
      </x:c>
      <x:c r="L207" s="20"/>
      <x:c r="M207" s="20" t="str">
        <x:v>Proportional proxy using known Solar capacity by district in PlantInfo</x:v>
      </x:c>
      <x:c r="N207" s="20" t="str">
        <x:v>https://mnre.gov.in/en/physical-progress/</x:v>
      </x:c>
      <x:c r="O207" s="20" t="str">
        <x:v>Low</x:v>
      </x:c>
      <x:c r="P207" s="20" t="str">
        <x:v>This is a statewide/residual category, not a plant-level record. The allocation preserves the row total but is an analytical proxy, not an observed facility location.</x:v>
      </x:c>
    </x:row>
    <x:row r="208">
      <x:c r="A208" s="14" t="n">
        <x:v>182</x:v>
      </x:c>
      <x:c r="B208" s="14" t="str">
        <x:v>Solar</x:v>
      </x:c>
      <x:c r="C208" s="14" t="str">
        <x:v>operational</x:v>
      </x:c>
      <x:c r="D208" s="20" t="str">
        <x:v>Tamil Nadu N.A. 251</x:v>
      </x:c>
      <x:c r="E208" s="14" t="str">
        <x:v>Tamil Nadu</x:v>
      </x:c>
      <x:c r="F208" s="14" t="str">
        <x:v>N.A.</x:v>
      </x:c>
      <x:c r="G208" s="14" t="str">
        <x:v>Krishnagiri</x:v>
      </x:c>
      <x:c r="H208" s="14"/>
      <x:c r="I208" s="15" t="n">
        <x:v>251</x:v>
      </x:c>
      <x:c r="J208" s="16" t="n">
        <x:v>0.00026181940046848216</x:v>
      </x:c>
      <x:c r="K208" s="15" t="n">
        <x:f>I208*J208</x:f>
        <x:v>0.06571666951758902</x:v>
      </x:c>
      <x:c r="L208" s="20"/>
      <x:c r="M208" s="20" t="str">
        <x:v>Proportional proxy using known Solar capacity by district in PlantInfo</x:v>
      </x:c>
      <x:c r="N208" s="20" t="str">
        <x:v>https://mnre.gov.in/en/physical-progress/</x:v>
      </x:c>
      <x:c r="O208" s="20" t="str">
        <x:v>Low</x:v>
      </x:c>
      <x:c r="P208" s="20" t="str">
        <x:v>This is a statewide/residual category, not a plant-level record. The allocation preserves the row total but is an analytical proxy, not an observed facility location.</x:v>
      </x:c>
    </x:row>
    <x:row r="209">
      <x:c r="A209" s="14" t="n">
        <x:v>182</x:v>
      </x:c>
      <x:c r="B209" s="14" t="str">
        <x:v>Solar</x:v>
      </x:c>
      <x:c r="C209" s="14" t="str">
        <x:v>operational</x:v>
      </x:c>
      <x:c r="D209" s="20" t="str">
        <x:v>Tamil Nadu N.A. 251</x:v>
      </x:c>
      <x:c r="E209" s="14" t="str">
        <x:v>Tamil Nadu</x:v>
      </x:c>
      <x:c r="F209" s="14" t="str">
        <x:v>N.A.</x:v>
      </x:c>
      <x:c r="G209" s="14" t="str">
        <x:v>Madurai</x:v>
      </x:c>
      <x:c r="H209" s="14"/>
      <x:c r="I209" s="15" t="n">
        <x:v>251</x:v>
      </x:c>
      <x:c r="J209" s="16" t="n">
        <x:v>0.0003490925339579762</x:v>
      </x:c>
      <x:c r="K209" s="15" t="n">
        <x:f>I209*J209</x:f>
        <x:v>0.08762222602345203</x:v>
      </x:c>
      <x:c r="L209" s="20"/>
      <x:c r="M209" s="20" t="str">
        <x:v>Proportional proxy using known Solar capacity by district in PlantInfo</x:v>
      </x:c>
      <x:c r="N209" s="20" t="str">
        <x:v>https://mnre.gov.in/en/physical-progress/</x:v>
      </x:c>
      <x:c r="O209" s="20" t="str">
        <x:v>Low</x:v>
      </x:c>
      <x:c r="P209" s="20" t="str">
        <x:v>This is a statewide/residual category, not a plant-level record. The allocation preserves the row total but is an analytical proxy, not an observed facility location.</x:v>
      </x:c>
    </x:row>
    <x:row r="210">
      <x:c r="A210" s="14" t="n">
        <x:v>182</x:v>
      </x:c>
      <x:c r="B210" s="14" t="str">
        <x:v>Solar</x:v>
      </x:c>
      <x:c r="C210" s="14" t="str">
        <x:v>operational</x:v>
      </x:c>
      <x:c r="D210" s="20" t="str">
        <x:v>Tamil Nadu N.A. 251</x:v>
      </x:c>
      <x:c r="E210" s="14" t="str">
        <x:v>Tamil Nadu</x:v>
      </x:c>
      <x:c r="F210" s="14" t="str">
        <x:v>N.A.</x:v>
      </x:c>
      <x:c r="G210" s="14" t="str">
        <x:v>Nagapattinam</x:v>
      </x:c>
      <x:c r="H210" s="14"/>
      <x:c r="I210" s="15" t="n">
        <x:v>251</x:v>
      </x:c>
      <x:c r="J210" s="16" t="n">
        <x:v>0.001745462669789881</x:v>
      </x:c>
      <x:c r="K210" s="15" t="n">
        <x:f>I210*J210</x:f>
        <x:v>0.43811113011726016</x:v>
      </x:c>
      <x:c r="L210" s="20"/>
      <x:c r="M210" s="20" t="str">
        <x:v>Proportional proxy using known Solar capacity by district in PlantInfo</x:v>
      </x:c>
      <x:c r="N210" s="20" t="str">
        <x:v>https://mnre.gov.in/en/physical-progress/</x:v>
      </x:c>
      <x:c r="O210" s="20" t="str">
        <x:v>Low</x:v>
      </x:c>
      <x:c r="P210" s="20" t="str">
        <x:v>This is a statewide/residual category, not a plant-level record. The allocation preserves the row total but is an analytical proxy, not an observed facility location.</x:v>
      </x:c>
    </x:row>
    <x:row r="211">
      <x:c r="A211" s="14" t="n">
        <x:v>182</x:v>
      </x:c>
      <x:c r="B211" s="14" t="str">
        <x:v>Solar</x:v>
      </x:c>
      <x:c r="C211" s="14" t="str">
        <x:v>operational</x:v>
      </x:c>
      <x:c r="D211" s="20" t="str">
        <x:v>Tamil Nadu N.A. 251</x:v>
      </x:c>
      <x:c r="E211" s="14" t="str">
        <x:v>Tamil Nadu</x:v>
      </x:c>
      <x:c r="F211" s="14" t="str">
        <x:v>N.A.</x:v>
      </x:c>
      <x:c r="G211" s="14" t="str">
        <x:v>Perambalur</x:v>
      </x:c>
      <x:c r="H211" s="14"/>
      <x:c r="I211" s="15" t="n">
        <x:v>251</x:v>
      </x:c>
      <x:c r="J211" s="16" t="n">
        <x:v>0.003490925339579762</x:v>
      </x:c>
      <x:c r="K211" s="15" t="n">
        <x:f>I211*J211</x:f>
        <x:v>0.8762222602345203</x:v>
      </x:c>
      <x:c r="L211" s="20"/>
      <x:c r="M211" s="20" t="str">
        <x:v>Proportional proxy using known Solar capacity by district in PlantInfo</x:v>
      </x:c>
      <x:c r="N211" s="20" t="str">
        <x:v>https://mnre.gov.in/en/physical-progress/</x:v>
      </x:c>
      <x:c r="O211" s="20" t="str">
        <x:v>Low</x:v>
      </x:c>
      <x:c r="P211" s="20" t="str">
        <x:v>This is a statewide/residual category, not a plant-level record. The allocation preserves the row total but is an analytical proxy, not an observed facility location.</x:v>
      </x:c>
    </x:row>
    <x:row r="212">
      <x:c r="A212" s="14" t="n">
        <x:v>182</x:v>
      </x:c>
      <x:c r="B212" s="14" t="str">
        <x:v>Solar</x:v>
      </x:c>
      <x:c r="C212" s="14" t="str">
        <x:v>operational</x:v>
      </x:c>
      <x:c r="D212" s="20" t="str">
        <x:v>Tamil Nadu N.A. 251</x:v>
      </x:c>
      <x:c r="E212" s="14" t="str">
        <x:v>Tamil Nadu</x:v>
      </x:c>
      <x:c r="F212" s="14" t="str">
        <x:v>N.A.</x:v>
      </x:c>
      <x:c r="G212" s="14" t="str">
        <x:v>Pudukkottai</x:v>
      </x:c>
      <x:c r="H212" s="14"/>
      <x:c r="I212" s="15" t="n">
        <x:v>251</x:v>
      </x:c>
      <x:c r="J212" s="16" t="n">
        <x:v>0.006981850679159524</x:v>
      </x:c>
      <x:c r="K212" s="15" t="n">
        <x:f>I212*J212</x:f>
        <x:v>1.7524445204690406</x:v>
      </x:c>
      <x:c r="L212" s="20"/>
      <x:c r="M212" s="20" t="str">
        <x:v>Proportional proxy using known Solar capacity by district in PlantInfo</x:v>
      </x:c>
      <x:c r="N212" s="20" t="str">
        <x:v>https://mnre.gov.in/en/physical-progress/</x:v>
      </x:c>
      <x:c r="O212" s="20" t="str">
        <x:v>Low</x:v>
      </x:c>
      <x:c r="P212" s="20" t="str">
        <x:v>This is a statewide/residual category, not a plant-level record. The allocation preserves the row total but is an analytical proxy, not an observed facility location.</x:v>
      </x:c>
    </x:row>
    <x:row r="213">
      <x:c r="A213" s="14" t="n">
        <x:v>182</x:v>
      </x:c>
      <x:c r="B213" s="14" t="str">
        <x:v>Solar</x:v>
      </x:c>
      <x:c r="C213" s="14" t="str">
        <x:v>operational</x:v>
      </x:c>
      <x:c r="D213" s="20" t="str">
        <x:v>Tamil Nadu N.A. 251</x:v>
      </x:c>
      <x:c r="E213" s="14" t="str">
        <x:v>Tamil Nadu</x:v>
      </x:c>
      <x:c r="F213" s="14" t="str">
        <x:v>N.A.</x:v>
      </x:c>
      <x:c r="G213" s="14" t="str">
        <x:v>Ramanathapuram</x:v>
      </x:c>
      <x:c r="H213" s="14"/>
      <x:c r="I213" s="15" t="n">
        <x:v>251</x:v>
      </x:c>
      <x:c r="J213" s="16" t="n">
        <x:v>0.31173963282447276</x:v>
      </x:c>
      <x:c r="K213" s="15" t="n">
        <x:f>I213*J213</x:f>
        <x:v>78.24664783894266</x:v>
      </x:c>
      <x:c r="L213" s="20"/>
      <x:c r="M213" s="20" t="str">
        <x:v>Proportional proxy using known Solar capacity by district in PlantInfo</x:v>
      </x:c>
      <x:c r="N213" s="20" t="str">
        <x:v>https://mnre.gov.in/en/physical-progress/</x:v>
      </x:c>
      <x:c r="O213" s="20" t="str">
        <x:v>Low</x:v>
      </x:c>
      <x:c r="P213" s="20" t="str">
        <x:v>This is a statewide/residual category, not a plant-level record. The allocation preserves the row total but is an analytical proxy, not an observed facility location.</x:v>
      </x:c>
    </x:row>
    <x:row r="214">
      <x:c r="A214" s="14" t="n">
        <x:v>182</x:v>
      </x:c>
      <x:c r="B214" s="14" t="str">
        <x:v>Solar</x:v>
      </x:c>
      <x:c r="C214" s="14" t="str">
        <x:v>operational</x:v>
      </x:c>
      <x:c r="D214" s="20" t="str">
        <x:v>Tamil Nadu N.A. 251</x:v>
      </x:c>
      <x:c r="E214" s="14" t="str">
        <x:v>Tamil Nadu</x:v>
      </x:c>
      <x:c r="F214" s="14" t="str">
        <x:v>N.A.</x:v>
      </x:c>
      <x:c r="G214" s="14" t="str">
        <x:v>Sivaganga</x:v>
      </x:c>
      <x:c r="H214" s="14"/>
      <x:c r="I214" s="15" t="n">
        <x:v>251</x:v>
      </x:c>
      <x:c r="J214" s="16" t="n">
        <x:v>0.0057774814370045065</x:v>
      </x:c>
      <x:c r="K214" s="15" t="n">
        <x:f>I214*J214</x:f>
        <x:v>1.4501478406881312</x:v>
      </x:c>
      <x:c r="L214" s="20"/>
      <x:c r="M214" s="20" t="str">
        <x:v>Proportional proxy using known Solar capacity by district in PlantInfo</x:v>
      </x:c>
      <x:c r="N214" s="20" t="str">
        <x:v>https://mnre.gov.in/en/physical-progress/</x:v>
      </x:c>
      <x:c r="O214" s="20" t="str">
        <x:v>Low</x:v>
      </x:c>
      <x:c r="P214" s="20" t="str">
        <x:v>This is a statewide/residual category, not a plant-level record. The allocation preserves the row total but is an analytical proxy, not an observed facility location.</x:v>
      </x:c>
    </x:row>
    <x:row r="215">
      <x:c r="A215" s="14" t="n">
        <x:v>182</x:v>
      </x:c>
      <x:c r="B215" s="14" t="str">
        <x:v>Solar</x:v>
      </x:c>
      <x:c r="C215" s="14" t="str">
        <x:v>operational</x:v>
      </x:c>
      <x:c r="D215" s="20" t="str">
        <x:v>Tamil Nadu N.A. 251</x:v>
      </x:c>
      <x:c r="E215" s="14" t="str">
        <x:v>Tamil Nadu</x:v>
      </x:c>
      <x:c r="F215" s="14" t="str">
        <x:v>N.A.</x:v>
      </x:c>
      <x:c r="G215" s="14" t="str">
        <x:v>Thoothukudi</x:v>
      </x:c>
      <x:c r="H215" s="14"/>
      <x:c r="I215" s="15" t="n">
        <x:v>251</x:v>
      </x:c>
      <x:c r="J215" s="16" t="n">
        <x:v>0.07959309774241857</x:v>
      </x:c>
      <x:c r="K215" s="15" t="n">
        <x:f>I215*J215</x:f>
        <x:v>19.977867533347062</x:v>
      </x:c>
      <x:c r="L215" s="20"/>
      <x:c r="M215" s="20" t="str">
        <x:v>Proportional proxy using known Solar capacity by district in PlantInfo</x:v>
      </x:c>
      <x:c r="N215" s="20" t="str">
        <x:v>https://mnre.gov.in/en/physical-progress/</x:v>
      </x:c>
      <x:c r="O215" s="20" t="str">
        <x:v>Low</x:v>
      </x:c>
      <x:c r="P215" s="20" t="str">
        <x:v>This is a statewide/residual category, not a plant-level record. The allocation preserves the row total but is an analytical proxy, not an observed facility location.</x:v>
      </x:c>
    </x:row>
    <x:row r="216">
      <x:c r="A216" s="14" t="n">
        <x:v>182</x:v>
      </x:c>
      <x:c r="B216" s="14" t="str">
        <x:v>Solar</x:v>
      </x:c>
      <x:c r="C216" s="14" t="str">
        <x:v>operational</x:v>
      </x:c>
      <x:c r="D216" s="20" t="str">
        <x:v>Tamil Nadu N.A. 251</x:v>
      </x:c>
      <x:c r="E216" s="14" t="str">
        <x:v>Tamil Nadu</x:v>
      </x:c>
      <x:c r="F216" s="14" t="str">
        <x:v>N.A.</x:v>
      </x:c>
      <x:c r="G216" s="14" t="str">
        <x:v>Tiruchirappalli</x:v>
      </x:c>
      <x:c r="H216" s="14"/>
      <x:c r="I216" s="15" t="n">
        <x:v>251</x:v>
      </x:c>
      <x:c r="J216" s="16" t="n">
        <x:v>0.05899663823889798</x:v>
      </x:c>
      <x:c r="K216" s="15" t="n">
        <x:f>I216*J216</x:f>
        <x:v>14.808156197963394</x:v>
      </x:c>
      <x:c r="L216" s="20"/>
      <x:c r="M216" s="20" t="str">
        <x:v>Proportional proxy using known Solar capacity by district in PlantInfo</x:v>
      </x:c>
      <x:c r="N216" s="20" t="str">
        <x:v>https://mnre.gov.in/en/physical-progress/</x:v>
      </x:c>
      <x:c r="O216" s="20" t="str">
        <x:v>Low</x:v>
      </x:c>
      <x:c r="P216" s="20" t="str">
        <x:v>This is a statewide/residual category, not a plant-level record. The allocation preserves the row total but is an analytical proxy, not an observed facility location.</x:v>
      </x:c>
    </x:row>
    <x:row r="217">
      <x:c r="A217" s="14" t="n">
        <x:v>182</x:v>
      </x:c>
      <x:c r="B217" s="14" t="str">
        <x:v>Solar</x:v>
      </x:c>
      <x:c r="C217" s="14" t="str">
        <x:v>operational</x:v>
      </x:c>
      <x:c r="D217" s="20" t="str">
        <x:v>Tamil Nadu N.A. 251</x:v>
      </x:c>
      <x:c r="E217" s="14" t="str">
        <x:v>Tamil Nadu</x:v>
      </x:c>
      <x:c r="F217" s="14" t="str">
        <x:v>N.A.</x:v>
      </x:c>
      <x:c r="G217" s="14" t="str">
        <x:v>Tirunelveli</x:v>
      </x:c>
      <x:c r="H217" s="14"/>
      <x:c r="I217" s="15" t="n">
        <x:v>251</x:v>
      </x:c>
      <x:c r="J217" s="16" t="n">
        <x:v>0.10799526630523953</x:v>
      </x:c>
      <x:c r="K217" s="15" t="n">
        <x:f>I217*J217</x:f>
        <x:v>27.106811842615123</x:v>
      </x:c>
      <x:c r="L217" s="20"/>
      <x:c r="M217" s="20" t="str">
        <x:v>Proportional proxy using known Solar capacity by district in PlantInfo</x:v>
      </x:c>
      <x:c r="N217" s="20" t="str">
        <x:v>https://mnre.gov.in/en/physical-progress/</x:v>
      </x:c>
      <x:c r="O217" s="20" t="str">
        <x:v>Low</x:v>
      </x:c>
      <x:c r="P217" s="20" t="str">
        <x:v>This is a statewide/residual category, not a plant-level record. The allocation preserves the row total but is an analytical proxy, not an observed facility location.</x:v>
      </x:c>
    </x:row>
    <x:row r="218">
      <x:c r="A218" s="14" t="n">
        <x:v>182</x:v>
      </x:c>
      <x:c r="B218" s="14" t="str">
        <x:v>Solar</x:v>
      </x:c>
      <x:c r="C218" s="14" t="str">
        <x:v>operational</x:v>
      </x:c>
      <x:c r="D218" s="20" t="str">
        <x:v>Tamil Nadu N.A. 251</x:v>
      </x:c>
      <x:c r="E218" s="14" t="str">
        <x:v>Tamil Nadu</x:v>
      </x:c>
      <x:c r="F218" s="14" t="str">
        <x:v>N.A.</x:v>
      </x:c>
      <x:c r="G218" s="14" t="str">
        <x:v>Tiruppur</x:v>
      </x:c>
      <x:c r="H218" s="14"/>
      <x:c r="I218" s="15" t="n">
        <x:v>251</x:v>
      </x:c>
      <x:c r="J218" s="16" t="n">
        <x:v>0.017210261924128226</x:v>
      </x:c>
      <x:c r="K218" s="15" t="n">
        <x:f>I218*J218</x:f>
        <x:v>4.3197757429561845</x:v>
      </x:c>
      <x:c r="L218" s="20"/>
      <x:c r="M218" s="20" t="str">
        <x:v>Proportional proxy using known Solar capacity by district in PlantInfo</x:v>
      </x:c>
      <x:c r="N218" s="20" t="str">
        <x:v>https://mnre.gov.in/en/physical-progress/</x:v>
      </x:c>
      <x:c r="O218" s="20" t="str">
        <x:v>Low</x:v>
      </x:c>
      <x:c r="P218" s="20" t="str">
        <x:v>This is a statewide/residual category, not a plant-level record. The allocation preserves the row total but is an analytical proxy, not an observed facility location.</x:v>
      </x:c>
    </x:row>
    <x:row r="219">
      <x:c r="A219" s="14" t="n">
        <x:v>182</x:v>
      </x:c>
      <x:c r="B219" s="14" t="str">
        <x:v>Solar</x:v>
      </x:c>
      <x:c r="C219" s="14" t="str">
        <x:v>operational</x:v>
      </x:c>
      <x:c r="D219" s="20" t="str">
        <x:v>Tamil Nadu N.A. 251</x:v>
      </x:c>
      <x:c r="E219" s="14" t="str">
        <x:v>Tamil Nadu</x:v>
      </x:c>
      <x:c r="F219" s="14" t="str">
        <x:v>N.A.</x:v>
      </x:c>
      <x:c r="G219" s="14" t="str">
        <x:v>Tiruvannamalai</x:v>
      </x:c>
      <x:c r="H219" s="14"/>
      <x:c r="I219" s="15" t="n">
        <x:v>251</x:v>
      </x:c>
      <x:c r="J219" s="16" t="n">
        <x:v>0.010821868552697263</x:v>
      </x:c>
      <x:c r="K219" s="15" t="n">
        <x:f>I219*J219</x:f>
        <x:v>2.716289006727013</x:v>
      </x:c>
      <x:c r="L219" s="20"/>
      <x:c r="M219" s="20" t="str">
        <x:v>Proportional proxy using known Solar capacity by district in PlantInfo</x:v>
      </x:c>
      <x:c r="N219" s="20" t="str">
        <x:v>https://mnre.gov.in/en/physical-progress/</x:v>
      </x:c>
      <x:c r="O219" s="20" t="str">
        <x:v>Low</x:v>
      </x:c>
      <x:c r="P219" s="20" t="str">
        <x:v>This is a statewide/residual category, not a plant-level record. The allocation preserves the row total but is an analytical proxy, not an observed facility location.</x:v>
      </x:c>
    </x:row>
    <x:row r="220">
      <x:c r="A220" s="14" t="n">
        <x:v>182</x:v>
      </x:c>
      <x:c r="B220" s="14" t="str">
        <x:v>Solar</x:v>
      </x:c>
      <x:c r="C220" s="14" t="str">
        <x:v>operational</x:v>
      </x:c>
      <x:c r="D220" s="20" t="str">
        <x:v>Tamil Nadu N.A. 251</x:v>
      </x:c>
      <x:c r="E220" s="14" t="str">
        <x:v>Tamil Nadu</x:v>
      </x:c>
      <x:c r="F220" s="14" t="str">
        <x:v>N.A.</x:v>
      </x:c>
      <x:c r="G220" s="14" t="str">
        <x:v>Vellore</x:v>
      </x:c>
      <x:c r="H220" s="14"/>
      <x:c r="I220" s="15" t="n">
        <x:v>251</x:v>
      </x:c>
      <x:c r="J220" s="16" t="n">
        <x:v>0.001745462669789881</x:v>
      </x:c>
      <x:c r="K220" s="15" t="n">
        <x:f>I220*J220</x:f>
        <x:v>0.43811113011726016</x:v>
      </x:c>
      <x:c r="L220" s="20"/>
      <x:c r="M220" s="20" t="str">
        <x:v>Proportional proxy using known Solar capacity by district in PlantInfo</x:v>
      </x:c>
      <x:c r="N220" s="20" t="str">
        <x:v>https://mnre.gov.in/en/physical-progress/</x:v>
      </x:c>
      <x:c r="O220" s="20" t="str">
        <x:v>Low</x:v>
      </x:c>
      <x:c r="P220" s="20" t="str">
        <x:v>This is a statewide/residual category, not a plant-level record. The allocation preserves the row total but is an analytical proxy, not an observed facility location.</x:v>
      </x:c>
    </x:row>
    <x:row r="221">
      <x:c r="A221" s="14" t="n">
        <x:v>182</x:v>
      </x:c>
      <x:c r="B221" s="14" t="str">
        <x:v>Solar</x:v>
      </x:c>
      <x:c r="C221" s="14" t="str">
        <x:v>operational</x:v>
      </x:c>
      <x:c r="D221" s="20" t="str">
        <x:v>Tamil Nadu N.A. 251</x:v>
      </x:c>
      <x:c r="E221" s="14" t="str">
        <x:v>Tamil Nadu</x:v>
      </x:c>
      <x:c r="F221" s="14" t="str">
        <x:v>N.A.</x:v>
      </x:c>
      <x:c r="G221" s="14" t="str">
        <x:v>Virudhunagar</x:v>
      </x:c>
      <x:c r="H221" s="14"/>
      <x:c r="I221" s="15" t="n">
        <x:v>251</x:v>
      </x:c>
      <x:c r="J221" s="16" t="n">
        <x:v>0.2392680227747969</x:v>
      </x:c>
      <x:c r="K221" s="15" t="n">
        <x:f>I221*J221</x:f>
        <x:v>60.05627371647402</x:v>
      </x:c>
      <x:c r="L221" s="20"/>
      <x:c r="M221" s="20" t="str">
        <x:v>Proportional proxy using known Solar capacity by district in PlantInfo</x:v>
      </x:c>
      <x:c r="N221" s="20" t="str">
        <x:v>https://mnre.gov.in/en/physical-progress/</x:v>
      </x:c>
      <x:c r="O221" s="20" t="str">
        <x:v>Low</x:v>
      </x:c>
      <x:c r="P221" s="20" t="str">
        <x:v>This is a statewide/residual category, not a plant-level record. The allocation preserves the row total but is an analytical proxy, not an observed facility location.</x:v>
      </x:c>
    </x:row>
    <x:row r="222">
      <x:c r="A222" s="14" t="n">
        <x:v>183</x:v>
      </x:c>
      <x:c r="B222" s="14" t="str">
        <x:v>Solar</x:v>
      </x:c>
      <x:c r="C222" s="14" t="str">
        <x:v>operational</x:v>
      </x:c>
      <x:c r="D222" s="20" t="str">
        <x:v>Tamil Nadu N.A. Off -grid 75.91</x:v>
      </x:c>
      <x:c r="E222" s="14" t="str">
        <x:v>Tamil Nadu</x:v>
      </x:c>
      <x:c r="F222" s="14" t="str">
        <x:v>N.A.</x:v>
      </x:c>
      <x:c r="G222" s="14" t="str">
        <x:v>Chennai</x:v>
      </x:c>
      <x:c r="H222" s="14"/>
      <x:c r="I222" s="15" t="n">
        <x:v>75.91</x:v>
      </x:c>
      <x:c r="J222" s="16" t="n">
        <x:v>0.005585480543327619</x:v>
      </x:c>
      <x:c r="K222" s="15" t="n">
        <x:f>I222*J222</x:f>
        <x:v>0.42399382804399954</x:v>
      </x:c>
      <x:c r="L222" s="20"/>
      <x:c r="M222" s="20" t="str">
        <x:v>Proportional proxy using known Solar capacity by district in PlantInfo</x:v>
      </x:c>
      <x:c r="N222" s="20" t="str">
        <x:v>https://mnre.gov.in/en/physical-progress/</x:v>
      </x:c>
      <x:c r="O222" s="20" t="str">
        <x:v>Low</x:v>
      </x:c>
      <x:c r="P222" s="20" t="str">
        <x:v>This is a statewide/residual category, not a plant-level record. The allocation preserves the row total but is an analytical proxy, not an observed facility location.</x:v>
      </x:c>
    </x:row>
    <x:row r="223">
      <x:c r="A223" s="14" t="n">
        <x:v>183</x:v>
      </x:c>
      <x:c r="B223" s="14" t="str">
        <x:v>Solar</x:v>
      </x:c>
      <x:c r="C223" s="14" t="str">
        <x:v>operational</x:v>
      </x:c>
      <x:c r="D223" s="20" t="str">
        <x:v>Tamil Nadu N.A. Off -grid 75.91</x:v>
      </x:c>
      <x:c r="E223" s="14" t="str">
        <x:v>Tamil Nadu</x:v>
      </x:c>
      <x:c r="F223" s="14" t="str">
        <x:v>N.A.</x:v>
      </x:c>
      <x:c r="G223" s="14" t="str">
        <x:v>Coimbatore</x:v>
      </x:c>
      <x:c r="H223" s="14"/>
      <x:c r="I223" s="15" t="n">
        <x:v>75.91</x:v>
      </x:c>
      <x:c r="J223" s="16" t="n">
        <x:v>0.003930781932366812</x:v>
      </x:c>
      <x:c r="K223" s="15" t="n">
        <x:f>I223*J223</x:f>
        <x:v>0.29838565648596466</x:v>
      </x:c>
      <x:c r="L223" s="20"/>
      <x:c r="M223" s="20" t="str">
        <x:v>Proportional proxy using known Solar capacity by district in PlantInfo</x:v>
      </x:c>
      <x:c r="N223" s="20" t="str">
        <x:v>https://mnre.gov.in/en/physical-progress/</x:v>
      </x:c>
      <x:c r="O223" s="20" t="str">
        <x:v>Low</x:v>
      </x:c>
      <x:c r="P223" s="20" t="str">
        <x:v>This is a statewide/residual category, not a plant-level record. The allocation preserves the row total but is an analytical proxy, not an observed facility location.</x:v>
      </x:c>
    </x:row>
    <x:row r="224">
      <x:c r="A224" s="14" t="n">
        <x:v>183</x:v>
      </x:c>
      <x:c r="B224" s="14" t="str">
        <x:v>Solar</x:v>
      </x:c>
      <x:c r="C224" s="14" t="str">
        <x:v>operational</x:v>
      </x:c>
      <x:c r="D224" s="20" t="str">
        <x:v>Tamil Nadu N.A. Off -grid 75.91</x:v>
      </x:c>
      <x:c r="E224" s="14" t="str">
        <x:v>Tamil Nadu</x:v>
      </x:c>
      <x:c r="F224" s="14" t="str">
        <x:v>N.A.</x:v>
      </x:c>
      <x:c r="G224" s="14" t="str">
        <x:v>Cuddalore</x:v>
      </x:c>
      <x:c r="H224" s="14"/>
      <x:c r="I224" s="15" t="n">
        <x:v>75.91</x:v>
      </x:c>
      <x:c r="J224" s="16" t="n">
        <x:v>0.04887295475411667</x:v>
      </x:c>
      <x:c r="K224" s="15" t="n">
        <x:f>I224*J224</x:f>
        <x:v>3.709945995384996</x:v>
      </x:c>
      <x:c r="L224" s="20"/>
      <x:c r="M224" s="20" t="str">
        <x:v>Proportional proxy using known Solar capacity by district in PlantInfo</x:v>
      </x:c>
      <x:c r="N224" s="20" t="str">
        <x:v>https://mnre.gov.in/en/physical-progress/</x:v>
      </x:c>
      <x:c r="O224" s="20" t="str">
        <x:v>Low</x:v>
      </x:c>
      <x:c r="P224" s="20" t="str">
        <x:v>This is a statewide/residual category, not a plant-level record. The allocation preserves the row total but is an analytical proxy, not an observed facility location.</x:v>
      </x:c>
    </x:row>
    <x:row r="225">
      <x:c r="A225" s="14" t="n">
        <x:v>183</x:v>
      </x:c>
      <x:c r="B225" s="14" t="str">
        <x:v>Solar</x:v>
      </x:c>
      <x:c r="C225" s="14" t="str">
        <x:v>operational</x:v>
      </x:c>
      <x:c r="D225" s="20" t="str">
        <x:v>Tamil Nadu N.A. Off -grid 75.91</x:v>
      </x:c>
      <x:c r="E225" s="14" t="str">
        <x:v>Tamil Nadu</x:v>
      </x:c>
      <x:c r="F225" s="14" t="str">
        <x:v>N.A.</x:v>
      </x:c>
      <x:c r="G225" s="14" t="str">
        <x:v>Dindigul</x:v>
      </x:c>
      <x:c r="H225" s="14"/>
      <x:c r="I225" s="15" t="n">
        <x:v>75.91</x:v>
      </x:c>
      <x:c r="J225" s="16" t="n">
        <x:v>0.038211668767040075</x:v>
      </x:c>
      <x:c r="K225" s="15" t="n">
        <x:f>I225*J225</x:f>
        <x:v>2.900647776106012</x:v>
      </x:c>
      <x:c r="L225" s="20"/>
      <x:c r="M225" s="20" t="str">
        <x:v>Proportional proxy using known Solar capacity by district in PlantInfo</x:v>
      </x:c>
      <x:c r="N225" s="20" t="str">
        <x:v>https://mnre.gov.in/en/physical-progress/</x:v>
      </x:c>
      <x:c r="O225" s="20" t="str">
        <x:v>Low</x:v>
      </x:c>
      <x:c r="P225" s="20" t="str">
        <x:v>This is a statewide/residual category, not a plant-level record. The allocation preserves the row total but is an analytical proxy, not an observed facility location.</x:v>
      </x:c>
    </x:row>
    <x:row r="226">
      <x:c r="A226" s="14" t="n">
        <x:v>183</x:v>
      </x:c>
      <x:c r="B226" s="14" t="str">
        <x:v>Solar</x:v>
      </x:c>
      <x:c r="C226" s="14" t="str">
        <x:v>operational</x:v>
      </x:c>
      <x:c r="D226" s="20" t="str">
        <x:v>Tamil Nadu N.A. Off -grid 75.91</x:v>
      </x:c>
      <x:c r="E226" s="14" t="str">
        <x:v>Tamil Nadu</x:v>
      </x:c>
      <x:c r="F226" s="14" t="str">
        <x:v>N.A.</x:v>
      </x:c>
      <x:c r="G226" s="14" t="str">
        <x:v>Erode</x:v>
      </x:c>
      <x:c r="H226" s="14"/>
      <x:c r="I226" s="15" t="n">
        <x:v>75.91</x:v>
      </x:c>
      <x:c r="J226" s="16" t="n">
        <x:v>0.0024436477377058337</x:v>
      </x:c>
      <x:c r="K226" s="15" t="n">
        <x:f>I226*J226</x:f>
        <x:v>0.18549729976924983</x:v>
      </x:c>
      <x:c r="L226" s="20"/>
      <x:c r="M226" s="20" t="str">
        <x:v>Proportional proxy using known Solar capacity by district in PlantInfo</x:v>
      </x:c>
      <x:c r="N226" s="20" t="str">
        <x:v>https://mnre.gov.in/en/physical-progress/</x:v>
      </x:c>
      <x:c r="O226" s="20" t="str">
        <x:v>Low</x:v>
      </x:c>
      <x:c r="P226" s="20" t="str">
        <x:v>This is a statewide/residual category, not a plant-level record. The allocation preserves the row total but is an analytical proxy, not an observed facility location.</x:v>
      </x:c>
    </x:row>
    <x:row r="227">
      <x:c r="A227" s="14" t="n">
        <x:v>183</x:v>
      </x:c>
      <x:c r="B227" s="14" t="str">
        <x:v>Solar</x:v>
      </x:c>
      <x:c r="C227" s="14" t="str">
        <x:v>operational</x:v>
      </x:c>
      <x:c r="D227" s="20" t="str">
        <x:v>Tamil Nadu N.A. Off -grid 75.91</x:v>
      </x:c>
      <x:c r="E227" s="14" t="str">
        <x:v>Tamil Nadu</x:v>
      </x:c>
      <x:c r="F227" s="14" t="str">
        <x:v>N.A.</x:v>
      </x:c>
      <x:c r="G227" s="14" t="str">
        <x:v>Kanyakumari</x:v>
      </x:c>
      <x:c r="H227" s="14"/>
      <x:c r="I227" s="15" t="n">
        <x:v>75.91</x:v>
      </x:c>
      <x:c r="J227" s="16" t="n">
        <x:v>0.0003490925339579762</x:v>
      </x:c>
      <x:c r="K227" s="15" t="n">
        <x:f>I227*J227</x:f>
        <x:v>0.02649961425274997</x:v>
      </x:c>
      <x:c r="L227" s="20"/>
      <x:c r="M227" s="20" t="str">
        <x:v>Proportional proxy using known Solar capacity by district in PlantInfo</x:v>
      </x:c>
      <x:c r="N227" s="20" t="str">
        <x:v>https://mnre.gov.in/en/physical-progress/</x:v>
      </x:c>
      <x:c r="O227" s="20" t="str">
        <x:v>Low</x:v>
      </x:c>
      <x:c r="P227" s="20" t="str">
        <x:v>This is a statewide/residual category, not a plant-level record. The allocation preserves the row total but is an analytical proxy, not an observed facility location.</x:v>
      </x:c>
    </x:row>
    <x:row r="228">
      <x:c r="A228" s="14" t="n">
        <x:v>183</x:v>
      </x:c>
      <x:c r="B228" s="14" t="str">
        <x:v>Solar</x:v>
      </x:c>
      <x:c r="C228" s="14" t="str">
        <x:v>operational</x:v>
      </x:c>
      <x:c r="D228" s="20" t="str">
        <x:v>Tamil Nadu N.A. Off -grid 75.91</x:v>
      </x:c>
      <x:c r="E228" s="14" t="str">
        <x:v>Tamil Nadu</x:v>
      </x:c>
      <x:c r="F228" s="14" t="str">
        <x:v>N.A.</x:v>
      </x:c>
      <x:c r="G228" s="14" t="str">
        <x:v>Karur</x:v>
      </x:c>
      <x:c r="H228" s="14"/>
      <x:c r="I228" s="15" t="n">
        <x:v>75.91</x:v>
      </x:c>
      <x:c r="J228" s="16" t="n">
        <x:v>0.054629490639083705</x:v>
      </x:c>
      <x:c r="K228" s="15" t="n">
        <x:f>I228*J228</x:f>
        <x:v>4.146924634412844</x:v>
      </x:c>
      <x:c r="L228" s="20"/>
      <x:c r="M228" s="20" t="str">
        <x:v>Proportional proxy using known Solar capacity by district in PlantInfo</x:v>
      </x:c>
      <x:c r="N228" s="20" t="str">
        <x:v>https://mnre.gov.in/en/physical-progress/</x:v>
      </x:c>
      <x:c r="O228" s="20" t="str">
        <x:v>Low</x:v>
      </x:c>
      <x:c r="P228" s="20" t="str">
        <x:v>This is a statewide/residual category, not a plant-level record. The allocation preserves the row total but is an analytical proxy, not an observed facility location.</x:v>
      </x:c>
    </x:row>
    <x:row r="229">
      <x:c r="A229" s="14" t="n">
        <x:v>183</x:v>
      </x:c>
      <x:c r="B229" s="14" t="str">
        <x:v>Solar</x:v>
      </x:c>
      <x:c r="C229" s="14" t="str">
        <x:v>operational</x:v>
      </x:c>
      <x:c r="D229" s="20" t="str">
        <x:v>Tamil Nadu N.A. Off -grid 75.91</x:v>
      </x:c>
      <x:c r="E229" s="14" t="str">
        <x:v>Tamil Nadu</x:v>
      </x:c>
      <x:c r="F229" s="14" t="str">
        <x:v>N.A.</x:v>
      </x:c>
      <x:c r="G229" s="14" t="str">
        <x:v>Krishnagiri</x:v>
      </x:c>
      <x:c r="H229" s="14"/>
      <x:c r="I229" s="15" t="n">
        <x:v>75.91</x:v>
      </x:c>
      <x:c r="J229" s="16" t="n">
        <x:v>0.00026181940046848216</x:v>
      </x:c>
      <x:c r="K229" s="15" t="n">
        <x:f>I229*J229</x:f>
        <x:v>0.01987471068956248</x:v>
      </x:c>
      <x:c r="L229" s="20"/>
      <x:c r="M229" s="20" t="str">
        <x:v>Proportional proxy using known Solar capacity by district in PlantInfo</x:v>
      </x:c>
      <x:c r="N229" s="20" t="str">
        <x:v>https://mnre.gov.in/en/physical-progress/</x:v>
      </x:c>
      <x:c r="O229" s="20" t="str">
        <x:v>Low</x:v>
      </x:c>
      <x:c r="P229" s="20" t="str">
        <x:v>This is a statewide/residual category, not a plant-level record. The allocation preserves the row total but is an analytical proxy, not an observed facility location.</x:v>
      </x:c>
    </x:row>
    <x:row r="230">
      <x:c r="A230" s="14" t="n">
        <x:v>183</x:v>
      </x:c>
      <x:c r="B230" s="14" t="str">
        <x:v>Solar</x:v>
      </x:c>
      <x:c r="C230" s="14" t="str">
        <x:v>operational</x:v>
      </x:c>
      <x:c r="D230" s="20" t="str">
        <x:v>Tamil Nadu N.A. Off -grid 75.91</x:v>
      </x:c>
      <x:c r="E230" s="14" t="str">
        <x:v>Tamil Nadu</x:v>
      </x:c>
      <x:c r="F230" s="14" t="str">
        <x:v>N.A.</x:v>
      </x:c>
      <x:c r="G230" s="14" t="str">
        <x:v>Madurai</x:v>
      </x:c>
      <x:c r="H230" s="14"/>
      <x:c r="I230" s="15" t="n">
        <x:v>75.91</x:v>
      </x:c>
      <x:c r="J230" s="16" t="n">
        <x:v>0.0003490925339579762</x:v>
      </x:c>
      <x:c r="K230" s="15" t="n">
        <x:f>I230*J230</x:f>
        <x:v>0.02649961425274997</x:v>
      </x:c>
      <x:c r="L230" s="20"/>
      <x:c r="M230" s="20" t="str">
        <x:v>Proportional proxy using known Solar capacity by district in PlantInfo</x:v>
      </x:c>
      <x:c r="N230" s="20" t="str">
        <x:v>https://mnre.gov.in/en/physical-progress/</x:v>
      </x:c>
      <x:c r="O230" s="20" t="str">
        <x:v>Low</x:v>
      </x:c>
      <x:c r="P230" s="20" t="str">
        <x:v>This is a statewide/residual category, not a plant-level record. The allocation preserves the row total but is an analytical proxy, not an observed facility location.</x:v>
      </x:c>
    </x:row>
    <x:row r="231">
      <x:c r="A231" s="14" t="n">
        <x:v>183</x:v>
      </x:c>
      <x:c r="B231" s="14" t="str">
        <x:v>Solar</x:v>
      </x:c>
      <x:c r="C231" s="14" t="str">
        <x:v>operational</x:v>
      </x:c>
      <x:c r="D231" s="20" t="str">
        <x:v>Tamil Nadu N.A. Off -grid 75.91</x:v>
      </x:c>
      <x:c r="E231" s="14" t="str">
        <x:v>Tamil Nadu</x:v>
      </x:c>
      <x:c r="F231" s="14" t="str">
        <x:v>N.A.</x:v>
      </x:c>
      <x:c r="G231" s="14" t="str">
        <x:v>Nagapattinam</x:v>
      </x:c>
      <x:c r="H231" s="14"/>
      <x:c r="I231" s="15" t="n">
        <x:v>75.91</x:v>
      </x:c>
      <x:c r="J231" s="16" t="n">
        <x:v>0.001745462669789881</x:v>
      </x:c>
      <x:c r="K231" s="15" t="n">
        <x:f>I231*J231</x:f>
        <x:v>0.13249807126374985</x:v>
      </x:c>
      <x:c r="L231" s="20"/>
      <x:c r="M231" s="20" t="str">
        <x:v>Proportional proxy using known Solar capacity by district in PlantInfo</x:v>
      </x:c>
      <x:c r="N231" s="20" t="str">
        <x:v>https://mnre.gov.in/en/physical-progress/</x:v>
      </x:c>
      <x:c r="O231" s="20" t="str">
        <x:v>Low</x:v>
      </x:c>
      <x:c r="P231" s="20" t="str">
        <x:v>This is a statewide/residual category, not a plant-level record. The allocation preserves the row total but is an analytical proxy, not an observed facility location.</x:v>
      </x:c>
    </x:row>
    <x:row r="232">
      <x:c r="A232" s="14" t="n">
        <x:v>183</x:v>
      </x:c>
      <x:c r="B232" s="14" t="str">
        <x:v>Solar</x:v>
      </x:c>
      <x:c r="C232" s="14" t="str">
        <x:v>operational</x:v>
      </x:c>
      <x:c r="D232" s="20" t="str">
        <x:v>Tamil Nadu N.A. Off -grid 75.91</x:v>
      </x:c>
      <x:c r="E232" s="14" t="str">
        <x:v>Tamil Nadu</x:v>
      </x:c>
      <x:c r="F232" s="14" t="str">
        <x:v>N.A.</x:v>
      </x:c>
      <x:c r="G232" s="14" t="str">
        <x:v>Perambalur</x:v>
      </x:c>
      <x:c r="H232" s="14"/>
      <x:c r="I232" s="15" t="n">
        <x:v>75.91</x:v>
      </x:c>
      <x:c r="J232" s="16" t="n">
        <x:v>0.003490925339579762</x:v>
      </x:c>
      <x:c r="K232" s="15" t="n">
        <x:f>I232*J232</x:f>
        <x:v>0.2649961425274997</x:v>
      </x:c>
      <x:c r="L232" s="20"/>
      <x:c r="M232" s="20" t="str">
        <x:v>Proportional proxy using known Solar capacity by district in PlantInfo</x:v>
      </x:c>
      <x:c r="N232" s="20" t="str">
        <x:v>https://mnre.gov.in/en/physical-progress/</x:v>
      </x:c>
      <x:c r="O232" s="20" t="str">
        <x:v>Low</x:v>
      </x:c>
      <x:c r="P232" s="20" t="str">
        <x:v>This is a statewide/residual category, not a plant-level record. The allocation preserves the row total but is an analytical proxy, not an observed facility location.</x:v>
      </x:c>
    </x:row>
    <x:row r="233">
      <x:c r="A233" s="14" t="n">
        <x:v>183</x:v>
      </x:c>
      <x:c r="B233" s="14" t="str">
        <x:v>Solar</x:v>
      </x:c>
      <x:c r="C233" s="14" t="str">
        <x:v>operational</x:v>
      </x:c>
      <x:c r="D233" s="20" t="str">
        <x:v>Tamil Nadu N.A. Off -grid 75.91</x:v>
      </x:c>
      <x:c r="E233" s="14" t="str">
        <x:v>Tamil Nadu</x:v>
      </x:c>
      <x:c r="F233" s="14" t="str">
        <x:v>N.A.</x:v>
      </x:c>
      <x:c r="G233" s="14" t="str">
        <x:v>Pudukkottai</x:v>
      </x:c>
      <x:c r="H233" s="14"/>
      <x:c r="I233" s="15" t="n">
        <x:v>75.91</x:v>
      </x:c>
      <x:c r="J233" s="16" t="n">
        <x:v>0.006981850679159524</x:v>
      </x:c>
      <x:c r="K233" s="15" t="n">
        <x:f>I233*J233</x:f>
        <x:v>0.5299922850549994</x:v>
      </x:c>
      <x:c r="L233" s="20"/>
      <x:c r="M233" s="20" t="str">
        <x:v>Proportional proxy using known Solar capacity by district in PlantInfo</x:v>
      </x:c>
      <x:c r="N233" s="20" t="str">
        <x:v>https://mnre.gov.in/en/physical-progress/</x:v>
      </x:c>
      <x:c r="O233" s="20" t="str">
        <x:v>Low</x:v>
      </x:c>
      <x:c r="P233" s="20" t="str">
        <x:v>This is a statewide/residual category, not a plant-level record. The allocation preserves the row total but is an analytical proxy, not an observed facility location.</x:v>
      </x:c>
    </x:row>
    <x:row r="234">
      <x:c r="A234" s="14" t="n">
        <x:v>183</x:v>
      </x:c>
      <x:c r="B234" s="14" t="str">
        <x:v>Solar</x:v>
      </x:c>
      <x:c r="C234" s="14" t="str">
        <x:v>operational</x:v>
      </x:c>
      <x:c r="D234" s="20" t="str">
        <x:v>Tamil Nadu N.A. Off -grid 75.91</x:v>
      </x:c>
      <x:c r="E234" s="14" t="str">
        <x:v>Tamil Nadu</x:v>
      </x:c>
      <x:c r="F234" s="14" t="str">
        <x:v>N.A.</x:v>
      </x:c>
      <x:c r="G234" s="14" t="str">
        <x:v>Ramanathapuram</x:v>
      </x:c>
      <x:c r="H234" s="14"/>
      <x:c r="I234" s="15" t="n">
        <x:v>75.91</x:v>
      </x:c>
      <x:c r="J234" s="16" t="n">
        <x:v>0.31173963282447276</x:v>
      </x:c>
      <x:c r="K234" s="15" t="n">
        <x:f>I234*J234</x:f>
        <x:v>23.664155527705727</x:v>
      </x:c>
      <x:c r="L234" s="20"/>
      <x:c r="M234" s="20" t="str">
        <x:v>Proportional proxy using known Solar capacity by district in PlantInfo</x:v>
      </x:c>
      <x:c r="N234" s="20" t="str">
        <x:v>https://mnre.gov.in/en/physical-progress/</x:v>
      </x:c>
      <x:c r="O234" s="20" t="str">
        <x:v>Low</x:v>
      </x:c>
      <x:c r="P234" s="20" t="str">
        <x:v>This is a statewide/residual category, not a plant-level record. The allocation preserves the row total but is an analytical proxy, not an observed facility location.</x:v>
      </x:c>
    </x:row>
    <x:row r="235">
      <x:c r="A235" s="14" t="n">
        <x:v>183</x:v>
      </x:c>
      <x:c r="B235" s="14" t="str">
        <x:v>Solar</x:v>
      </x:c>
      <x:c r="C235" s="14" t="str">
        <x:v>operational</x:v>
      </x:c>
      <x:c r="D235" s="20" t="str">
        <x:v>Tamil Nadu N.A. Off -grid 75.91</x:v>
      </x:c>
      <x:c r="E235" s="14" t="str">
        <x:v>Tamil Nadu</x:v>
      </x:c>
      <x:c r="F235" s="14" t="str">
        <x:v>N.A.</x:v>
      </x:c>
      <x:c r="G235" s="14" t="str">
        <x:v>Sivaganga</x:v>
      </x:c>
      <x:c r="H235" s="14"/>
      <x:c r="I235" s="15" t="n">
        <x:v>75.91</x:v>
      </x:c>
      <x:c r="J235" s="16" t="n">
        <x:v>0.0057774814370045065</x:v>
      </x:c>
      <x:c r="K235" s="15" t="n">
        <x:f>I235*J235</x:f>
        <x:v>0.43856861588301205</x:v>
      </x:c>
      <x:c r="L235" s="20"/>
      <x:c r="M235" s="20" t="str">
        <x:v>Proportional proxy using known Solar capacity by district in PlantInfo</x:v>
      </x:c>
      <x:c r="N235" s="20" t="str">
        <x:v>https://mnre.gov.in/en/physical-progress/</x:v>
      </x:c>
      <x:c r="O235" s="20" t="str">
        <x:v>Low</x:v>
      </x:c>
      <x:c r="P235" s="20" t="str">
        <x:v>This is a statewide/residual category, not a plant-level record. The allocation preserves the row total but is an analytical proxy, not an observed facility location.</x:v>
      </x:c>
    </x:row>
    <x:row r="236">
      <x:c r="A236" s="14" t="n">
        <x:v>183</x:v>
      </x:c>
      <x:c r="B236" s="14" t="str">
        <x:v>Solar</x:v>
      </x:c>
      <x:c r="C236" s="14" t="str">
        <x:v>operational</x:v>
      </x:c>
      <x:c r="D236" s="20" t="str">
        <x:v>Tamil Nadu N.A. Off -grid 75.91</x:v>
      </x:c>
      <x:c r="E236" s="14" t="str">
        <x:v>Tamil Nadu</x:v>
      </x:c>
      <x:c r="F236" s="14" t="str">
        <x:v>N.A.</x:v>
      </x:c>
      <x:c r="G236" s="14" t="str">
        <x:v>Thoothukudi</x:v>
      </x:c>
      <x:c r="H236" s="14"/>
      <x:c r="I236" s="15" t="n">
        <x:v>75.91</x:v>
      </x:c>
      <x:c r="J236" s="16" t="n">
        <x:v>0.07959309774241857</x:v>
      </x:c>
      <x:c r="K236" s="15" t="n">
        <x:f>I236*J236</x:f>
        <x:v>6.041912049626993</x:v>
      </x:c>
      <x:c r="L236" s="20"/>
      <x:c r="M236" s="20" t="str">
        <x:v>Proportional proxy using known Solar capacity by district in PlantInfo</x:v>
      </x:c>
      <x:c r="N236" s="20" t="str">
        <x:v>https://mnre.gov.in/en/physical-progress/</x:v>
      </x:c>
      <x:c r="O236" s="20" t="str">
        <x:v>Low</x:v>
      </x:c>
      <x:c r="P236" s="20" t="str">
        <x:v>This is a statewide/residual category, not a plant-level record. The allocation preserves the row total but is an analytical proxy, not an observed facility location.</x:v>
      </x:c>
    </x:row>
    <x:row r="237">
      <x:c r="A237" s="14" t="n">
        <x:v>183</x:v>
      </x:c>
      <x:c r="B237" s="14" t="str">
        <x:v>Solar</x:v>
      </x:c>
      <x:c r="C237" s="14" t="str">
        <x:v>operational</x:v>
      </x:c>
      <x:c r="D237" s="20" t="str">
        <x:v>Tamil Nadu N.A. Off -grid 75.91</x:v>
      </x:c>
      <x:c r="E237" s="14" t="str">
        <x:v>Tamil Nadu</x:v>
      </x:c>
      <x:c r="F237" s="14" t="str">
        <x:v>N.A.</x:v>
      </x:c>
      <x:c r="G237" s="14" t="str">
        <x:v>Tiruchirappalli</x:v>
      </x:c>
      <x:c r="H237" s="14"/>
      <x:c r="I237" s="15" t="n">
        <x:v>75.91</x:v>
      </x:c>
      <x:c r="J237" s="16" t="n">
        <x:v>0.05899663823889798</x:v>
      </x:c>
      <x:c r="K237" s="15" t="n">
        <x:f>I237*J237</x:f>
        <x:v>4.478434808714746</x:v>
      </x:c>
      <x:c r="L237" s="20"/>
      <x:c r="M237" s="20" t="str">
        <x:v>Proportional proxy using known Solar capacity by district in PlantInfo</x:v>
      </x:c>
      <x:c r="N237" s="20" t="str">
        <x:v>https://mnre.gov.in/en/physical-progress/</x:v>
      </x:c>
      <x:c r="O237" s="20" t="str">
        <x:v>Low</x:v>
      </x:c>
      <x:c r="P237" s="20" t="str">
        <x:v>This is a statewide/residual category, not a plant-level record. The allocation preserves the row total but is an analytical proxy, not an observed facility location.</x:v>
      </x:c>
    </x:row>
    <x:row r="238">
      <x:c r="A238" s="14" t="n">
        <x:v>183</x:v>
      </x:c>
      <x:c r="B238" s="14" t="str">
        <x:v>Solar</x:v>
      </x:c>
      <x:c r="C238" s="14" t="str">
        <x:v>operational</x:v>
      </x:c>
      <x:c r="D238" s="20" t="str">
        <x:v>Tamil Nadu N.A. Off -grid 75.91</x:v>
      </x:c>
      <x:c r="E238" s="14" t="str">
        <x:v>Tamil Nadu</x:v>
      </x:c>
      <x:c r="F238" s="14" t="str">
        <x:v>N.A.</x:v>
      </x:c>
      <x:c r="G238" s="14" t="str">
        <x:v>Tirunelveli</x:v>
      </x:c>
      <x:c r="H238" s="14"/>
      <x:c r="I238" s="15" t="n">
        <x:v>75.91</x:v>
      </x:c>
      <x:c r="J238" s="16" t="n">
        <x:v>0.10799526630523953</x:v>
      </x:c>
      <x:c r="K238" s="15" t="n">
        <x:f>I238*J238</x:f>
        <x:v>8.197920665230733</x:v>
      </x:c>
      <x:c r="L238" s="20"/>
      <x:c r="M238" s="20" t="str">
        <x:v>Proportional proxy using known Solar capacity by district in PlantInfo</x:v>
      </x:c>
      <x:c r="N238" s="20" t="str">
        <x:v>https://mnre.gov.in/en/physical-progress/</x:v>
      </x:c>
      <x:c r="O238" s="20" t="str">
        <x:v>Low</x:v>
      </x:c>
      <x:c r="P238" s="20" t="str">
        <x:v>This is a statewide/residual category, not a plant-level record. The allocation preserves the row total but is an analytical proxy, not an observed facility location.</x:v>
      </x:c>
    </x:row>
    <x:row r="239">
      <x:c r="A239" s="14" t="n">
        <x:v>183</x:v>
      </x:c>
      <x:c r="B239" s="14" t="str">
        <x:v>Solar</x:v>
      </x:c>
      <x:c r="C239" s="14" t="str">
        <x:v>operational</x:v>
      </x:c>
      <x:c r="D239" s="20" t="str">
        <x:v>Tamil Nadu N.A. Off -grid 75.91</x:v>
      </x:c>
      <x:c r="E239" s="14" t="str">
        <x:v>Tamil Nadu</x:v>
      </x:c>
      <x:c r="F239" s="14" t="str">
        <x:v>N.A.</x:v>
      </x:c>
      <x:c r="G239" s="14" t="str">
        <x:v>Tiruppur</x:v>
      </x:c>
      <x:c r="H239" s="14"/>
      <x:c r="I239" s="15" t="n">
        <x:v>75.91</x:v>
      </x:c>
      <x:c r="J239" s="16" t="n">
        <x:v>0.017210261924128226</x:v>
      </x:c>
      <x:c r="K239" s="15" t="n">
        <x:f>I239*J239</x:f>
        <x:v>1.3064309826605736</x:v>
      </x:c>
      <x:c r="L239" s="20"/>
      <x:c r="M239" s="20" t="str">
        <x:v>Proportional proxy using known Solar capacity by district in PlantInfo</x:v>
      </x:c>
      <x:c r="N239" s="20" t="str">
        <x:v>https://mnre.gov.in/en/physical-progress/</x:v>
      </x:c>
      <x:c r="O239" s="20" t="str">
        <x:v>Low</x:v>
      </x:c>
      <x:c r="P239" s="20" t="str">
        <x:v>This is a statewide/residual category, not a plant-level record. The allocation preserves the row total but is an analytical proxy, not an observed facility location.</x:v>
      </x:c>
    </x:row>
    <x:row r="240">
      <x:c r="A240" s="14" t="n">
        <x:v>183</x:v>
      </x:c>
      <x:c r="B240" s="14" t="str">
        <x:v>Solar</x:v>
      </x:c>
      <x:c r="C240" s="14" t="str">
        <x:v>operational</x:v>
      </x:c>
      <x:c r="D240" s="20" t="str">
        <x:v>Tamil Nadu N.A. Off -grid 75.91</x:v>
      </x:c>
      <x:c r="E240" s="14" t="str">
        <x:v>Tamil Nadu</x:v>
      </x:c>
      <x:c r="F240" s="14" t="str">
        <x:v>N.A.</x:v>
      </x:c>
      <x:c r="G240" s="14" t="str">
        <x:v>Tiruvannamalai</x:v>
      </x:c>
      <x:c r="H240" s="14"/>
      <x:c r="I240" s="15" t="n">
        <x:v>75.91</x:v>
      </x:c>
      <x:c r="J240" s="16" t="n">
        <x:v>0.010821868552697263</x:v>
      </x:c>
      <x:c r="K240" s="15" t="n">
        <x:f>I240*J240</x:f>
        <x:v>0.8214880418352491</x:v>
      </x:c>
      <x:c r="L240" s="20"/>
      <x:c r="M240" s="20" t="str">
        <x:v>Proportional proxy using known Solar capacity by district in PlantInfo</x:v>
      </x:c>
      <x:c r="N240" s="20" t="str">
        <x:v>https://mnre.gov.in/en/physical-progress/</x:v>
      </x:c>
      <x:c r="O240" s="20" t="str">
        <x:v>Low</x:v>
      </x:c>
      <x:c r="P240" s="20" t="str">
        <x:v>This is a statewide/residual category, not a plant-level record. The allocation preserves the row total but is an analytical proxy, not an observed facility location.</x:v>
      </x:c>
    </x:row>
    <x:row r="241">
      <x:c r="A241" s="14" t="n">
        <x:v>183</x:v>
      </x:c>
      <x:c r="B241" s="14" t="str">
        <x:v>Solar</x:v>
      </x:c>
      <x:c r="C241" s="14" t="str">
        <x:v>operational</x:v>
      </x:c>
      <x:c r="D241" s="20" t="str">
        <x:v>Tamil Nadu N.A. Off -grid 75.91</x:v>
      </x:c>
      <x:c r="E241" s="14" t="str">
        <x:v>Tamil Nadu</x:v>
      </x:c>
      <x:c r="F241" s="14" t="str">
        <x:v>N.A.</x:v>
      </x:c>
      <x:c r="G241" s="14" t="str">
        <x:v>Vellore</x:v>
      </x:c>
      <x:c r="H241" s="14"/>
      <x:c r="I241" s="15" t="n">
        <x:v>75.91</x:v>
      </x:c>
      <x:c r="J241" s="16" t="n">
        <x:v>0.001745462669789881</x:v>
      </x:c>
      <x:c r="K241" s="15" t="n">
        <x:f>I241*J241</x:f>
        <x:v>0.13249807126374985</x:v>
      </x:c>
      <x:c r="L241" s="20"/>
      <x:c r="M241" s="20" t="str">
        <x:v>Proportional proxy using known Solar capacity by district in PlantInfo</x:v>
      </x:c>
      <x:c r="N241" s="20" t="str">
        <x:v>https://mnre.gov.in/en/physical-progress/</x:v>
      </x:c>
      <x:c r="O241" s="20" t="str">
        <x:v>Low</x:v>
      </x:c>
      <x:c r="P241" s="20" t="str">
        <x:v>This is a statewide/residual category, not a plant-level record. The allocation preserves the row total but is an analytical proxy, not an observed facility location.</x:v>
      </x:c>
    </x:row>
    <x:row r="242">
      <x:c r="A242" s="14" t="n">
        <x:v>183</x:v>
      </x:c>
      <x:c r="B242" s="14" t="str">
        <x:v>Solar</x:v>
      </x:c>
      <x:c r="C242" s="14" t="str">
        <x:v>operational</x:v>
      </x:c>
      <x:c r="D242" s="20" t="str">
        <x:v>Tamil Nadu N.A. Off -grid 75.91</x:v>
      </x:c>
      <x:c r="E242" s="14" t="str">
        <x:v>Tamil Nadu</x:v>
      </x:c>
      <x:c r="F242" s="14" t="str">
        <x:v>N.A.</x:v>
      </x:c>
      <x:c r="G242" s="14" t="str">
        <x:v>Virudhunagar</x:v>
      </x:c>
      <x:c r="H242" s="14"/>
      <x:c r="I242" s="15" t="n">
        <x:v>75.91</x:v>
      </x:c>
      <x:c r="J242" s="16" t="n">
        <x:v>0.2392680227747969</x:v>
      </x:c>
      <x:c r="K242" s="15" t="n">
        <x:f>I242*J242</x:f>
        <x:v>18.162835608834833</x:v>
      </x:c>
      <x:c r="L242" s="20"/>
      <x:c r="M242" s="20" t="str">
        <x:v>Proportional proxy using known Solar capacity by district in PlantInfo</x:v>
      </x:c>
      <x:c r="N242" s="20" t="str">
        <x:v>https://mnre.gov.in/en/physical-progress/</x:v>
      </x:c>
      <x:c r="O242" s="20" t="str">
        <x:v>Low</x:v>
      </x:c>
      <x:c r="P242" s="20" t="str">
        <x:v>This is a statewide/residual category, not a plant-level record. The allocation preserves the row total but is an analytical proxy, not an observed facility location.</x:v>
      </x:c>
    </x:row>
    <x:row r="243">
      <x:c r="A243" s="14" t="n">
        <x:v>184</x:v>
      </x:c>
      <x:c r="B243" s="14" t="str">
        <x:v>Solar</x:v>
      </x:c>
      <x:c r="C243" s="14" t="str">
        <x:v>operational</x:v>
      </x:c>
      <x:c r="D243" s="20" t="str">
        <x:v>Tamil Nadu N.A. Others (Districts not specified) 8930.85</x:v>
      </x:c>
      <x:c r="E243" s="14" t="str">
        <x:v>Tamil Nadu</x:v>
      </x:c>
      <x:c r="F243" s="14" t="str">
        <x:v>N.A.</x:v>
      </x:c>
      <x:c r="G243" s="14" t="str">
        <x:v>Chennai</x:v>
      </x:c>
      <x:c r="H243" s="14"/>
      <x:c r="I243" s="15" t="n">
        <x:v>8930.85</x:v>
      </x:c>
      <x:c r="J243" s="16" t="n">
        <x:v>0.005585480543327619</x:v>
      </x:c>
      <x:c r="K243" s="15" t="n">
        <x:f>I243*J243</x:f>
        <x:v>49.883088910377474</x:v>
      </x:c>
      <x:c r="L243" s="20"/>
      <x:c r="M243" s="20" t="str">
        <x:v>Proportional proxy using known Solar capacity by district in PlantInfo</x:v>
      </x:c>
      <x:c r="N243" s="20" t="str">
        <x:v>https://mnre.gov.in/en/physical-progress/</x:v>
      </x:c>
      <x:c r="O243" s="20" t="str">
        <x:v>Low</x:v>
      </x:c>
      <x:c r="P243" s="20" t="str">
        <x:v>This is a statewide/residual category, not a plant-level record. The allocation preserves the row total but is an analytical proxy, not an observed facility location.</x:v>
      </x:c>
    </x:row>
    <x:row r="244">
      <x:c r="A244" s="14" t="n">
        <x:v>184</x:v>
      </x:c>
      <x:c r="B244" s="14" t="str">
        <x:v>Solar</x:v>
      </x:c>
      <x:c r="C244" s="14" t="str">
        <x:v>operational</x:v>
      </x:c>
      <x:c r="D244" s="20" t="str">
        <x:v>Tamil Nadu N.A. Others (Districts not specified) 8930.85</x:v>
      </x:c>
      <x:c r="E244" s="14" t="str">
        <x:v>Tamil Nadu</x:v>
      </x:c>
      <x:c r="F244" s="14" t="str">
        <x:v>N.A.</x:v>
      </x:c>
      <x:c r="G244" s="14" t="str">
        <x:v>Coimbatore</x:v>
      </x:c>
      <x:c r="H244" s="14"/>
      <x:c r="I244" s="15" t="n">
        <x:v>8930.85</x:v>
      </x:c>
      <x:c r="J244" s="16" t="n">
        <x:v>0.003930781932366812</x:v>
      </x:c>
      <x:c r="K244" s="15" t="n">
        <x:f>I244*J244</x:f>
        <x:v>35.10522382067814</x:v>
      </x:c>
      <x:c r="L244" s="20"/>
      <x:c r="M244" s="20" t="str">
        <x:v>Proportional proxy using known Solar capacity by district in PlantInfo</x:v>
      </x:c>
      <x:c r="N244" s="20" t="str">
        <x:v>https://mnre.gov.in/en/physical-progress/</x:v>
      </x:c>
      <x:c r="O244" s="20" t="str">
        <x:v>Low</x:v>
      </x:c>
      <x:c r="P244" s="20" t="str">
        <x:v>This is a statewide/residual category, not a plant-level record. The allocation preserves the row total but is an analytical proxy, not an observed facility location.</x:v>
      </x:c>
    </x:row>
    <x:row r="245">
      <x:c r="A245" s="14" t="n">
        <x:v>184</x:v>
      </x:c>
      <x:c r="B245" s="14" t="str">
        <x:v>Solar</x:v>
      </x:c>
      <x:c r="C245" s="14" t="str">
        <x:v>operational</x:v>
      </x:c>
      <x:c r="D245" s="20" t="str">
        <x:v>Tamil Nadu N.A. Others (Districts not specified) 8930.85</x:v>
      </x:c>
      <x:c r="E245" s="14" t="str">
        <x:v>Tamil Nadu</x:v>
      </x:c>
      <x:c r="F245" s="14" t="str">
        <x:v>N.A.</x:v>
      </x:c>
      <x:c r="G245" s="14" t="str">
        <x:v>Cuddalore</x:v>
      </x:c>
      <x:c r="H245" s="14"/>
      <x:c r="I245" s="15" t="n">
        <x:v>8930.85</x:v>
      </x:c>
      <x:c r="J245" s="16" t="n">
        <x:v>0.04887295475411667</x:v>
      </x:c>
      <x:c r="K245" s="15" t="n">
        <x:f>I245*J245</x:f>
        <x:v>436.47702796580285</x:v>
      </x:c>
      <x:c r="L245" s="20"/>
      <x:c r="M245" s="20" t="str">
        <x:v>Proportional proxy using known Solar capacity by district in PlantInfo</x:v>
      </x:c>
      <x:c r="N245" s="20" t="str">
        <x:v>https://mnre.gov.in/en/physical-progress/</x:v>
      </x:c>
      <x:c r="O245" s="20" t="str">
        <x:v>Low</x:v>
      </x:c>
      <x:c r="P245" s="20" t="str">
        <x:v>This is a statewide/residual category, not a plant-level record. The allocation preserves the row total but is an analytical proxy, not an observed facility location.</x:v>
      </x:c>
    </x:row>
    <x:row r="246">
      <x:c r="A246" s="14" t="n">
        <x:v>184</x:v>
      </x:c>
      <x:c r="B246" s="14" t="str">
        <x:v>Solar</x:v>
      </x:c>
      <x:c r="C246" s="14" t="str">
        <x:v>operational</x:v>
      </x:c>
      <x:c r="D246" s="20" t="str">
        <x:v>Tamil Nadu N.A. Others (Districts not specified) 8930.85</x:v>
      </x:c>
      <x:c r="E246" s="14" t="str">
        <x:v>Tamil Nadu</x:v>
      </x:c>
      <x:c r="F246" s="14" t="str">
        <x:v>N.A.</x:v>
      </x:c>
      <x:c r="G246" s="14" t="str">
        <x:v>Dindigul</x:v>
      </x:c>
      <x:c r="H246" s="14"/>
      <x:c r="I246" s="15" t="n">
        <x:v>8930.85</x:v>
      </x:c>
      <x:c r="J246" s="16" t="n">
        <x:v>0.038211668767040075</x:v>
      </x:c>
      <x:c r="K246" s="15" t="n">
        <x:f>I246*J246</x:f>
        <x:v>341.26268200811984</x:v>
      </x:c>
      <x:c r="L246" s="20"/>
      <x:c r="M246" s="20" t="str">
        <x:v>Proportional proxy using known Solar capacity by district in PlantInfo</x:v>
      </x:c>
      <x:c r="N246" s="20" t="str">
        <x:v>https://mnre.gov.in/en/physical-progress/</x:v>
      </x:c>
      <x:c r="O246" s="20" t="str">
        <x:v>Low</x:v>
      </x:c>
      <x:c r="P246" s="20" t="str">
        <x:v>This is a statewide/residual category, not a plant-level record. The allocation preserves the row total but is an analytical proxy, not an observed facility location.</x:v>
      </x:c>
    </x:row>
    <x:row r="247">
      <x:c r="A247" s="14" t="n">
        <x:v>184</x:v>
      </x:c>
      <x:c r="B247" s="14" t="str">
        <x:v>Solar</x:v>
      </x:c>
      <x:c r="C247" s="14" t="str">
        <x:v>operational</x:v>
      </x:c>
      <x:c r="D247" s="20" t="str">
        <x:v>Tamil Nadu N.A. Others (Districts not specified) 8930.85</x:v>
      </x:c>
      <x:c r="E247" s="14" t="str">
        <x:v>Tamil Nadu</x:v>
      </x:c>
      <x:c r="F247" s="14" t="str">
        <x:v>N.A.</x:v>
      </x:c>
      <x:c r="G247" s="14" t="str">
        <x:v>Erode</x:v>
      </x:c>
      <x:c r="H247" s="14"/>
      <x:c r="I247" s="15" t="n">
        <x:v>8930.85</x:v>
      </x:c>
      <x:c r="J247" s="16" t="n">
        <x:v>0.0024436477377058337</x:v>
      </x:c>
      <x:c r="K247" s="15" t="n">
        <x:f>I247*J247</x:f>
        <x:v>21.823851398290145</x:v>
      </x:c>
      <x:c r="L247" s="20"/>
      <x:c r="M247" s="20" t="str">
        <x:v>Proportional proxy using known Solar capacity by district in PlantInfo</x:v>
      </x:c>
      <x:c r="N247" s="20" t="str">
        <x:v>https://mnre.gov.in/en/physical-progress/</x:v>
      </x:c>
      <x:c r="O247" s="20" t="str">
        <x:v>Low</x:v>
      </x:c>
      <x:c r="P247" s="20" t="str">
        <x:v>This is a statewide/residual category, not a plant-level record. The allocation preserves the row total but is an analytical proxy, not an observed facility location.</x:v>
      </x:c>
    </x:row>
    <x:row r="248">
      <x:c r="A248" s="14" t="n">
        <x:v>184</x:v>
      </x:c>
      <x:c r="B248" s="14" t="str">
        <x:v>Solar</x:v>
      </x:c>
      <x:c r="C248" s="14" t="str">
        <x:v>operational</x:v>
      </x:c>
      <x:c r="D248" s="20" t="str">
        <x:v>Tamil Nadu N.A. Others (Districts not specified) 8930.85</x:v>
      </x:c>
      <x:c r="E248" s="14" t="str">
        <x:v>Tamil Nadu</x:v>
      </x:c>
      <x:c r="F248" s="14" t="str">
        <x:v>N.A.</x:v>
      </x:c>
      <x:c r="G248" s="14" t="str">
        <x:v>Kanyakumari</x:v>
      </x:c>
      <x:c r="H248" s="14"/>
      <x:c r="I248" s="15" t="n">
        <x:v>8930.85</x:v>
      </x:c>
      <x:c r="J248" s="16" t="n">
        <x:v>0.0003490925339579762</x:v>
      </x:c>
      <x:c r="K248" s="15" t="n">
        <x:f>I248*J248</x:f>
        <x:v>3.117693056898592</x:v>
      </x:c>
      <x:c r="L248" s="20"/>
      <x:c r="M248" s="20" t="str">
        <x:v>Proportional proxy using known Solar capacity by district in PlantInfo</x:v>
      </x:c>
      <x:c r="N248" s="20" t="str">
        <x:v>https://mnre.gov.in/en/physical-progress/</x:v>
      </x:c>
      <x:c r="O248" s="20" t="str">
        <x:v>Low</x:v>
      </x:c>
      <x:c r="P248" s="20" t="str">
        <x:v>This is a statewide/residual category, not a plant-level record. The allocation preserves the row total but is an analytical proxy, not an observed facility location.</x:v>
      </x:c>
    </x:row>
    <x:row r="249">
      <x:c r="A249" s="14" t="n">
        <x:v>184</x:v>
      </x:c>
      <x:c r="B249" s="14" t="str">
        <x:v>Solar</x:v>
      </x:c>
      <x:c r="C249" s="14" t="str">
        <x:v>operational</x:v>
      </x:c>
      <x:c r="D249" s="20" t="str">
        <x:v>Tamil Nadu N.A. Others (Districts not specified) 8930.85</x:v>
      </x:c>
      <x:c r="E249" s="14" t="str">
        <x:v>Tamil Nadu</x:v>
      </x:c>
      <x:c r="F249" s="14" t="str">
        <x:v>N.A.</x:v>
      </x:c>
      <x:c r="G249" s="14" t="str">
        <x:v>Karur</x:v>
      </x:c>
      <x:c r="H249" s="14"/>
      <x:c r="I249" s="15" t="n">
        <x:v>8930.85</x:v>
      </x:c>
      <x:c r="J249" s="16" t="n">
        <x:v>0.054629490639083705</x:v>
      </x:c>
      <x:c r="K249" s="15" t="n">
        <x:f>I249*J249</x:f>
        <x:v>487.8877864740607</x:v>
      </x:c>
      <x:c r="L249" s="20"/>
      <x:c r="M249" s="20" t="str">
        <x:v>Proportional proxy using known Solar capacity by district in PlantInfo</x:v>
      </x:c>
      <x:c r="N249" s="20" t="str">
        <x:v>https://mnre.gov.in/en/physical-progress/</x:v>
      </x:c>
      <x:c r="O249" s="20" t="str">
        <x:v>Low</x:v>
      </x:c>
      <x:c r="P249" s="20" t="str">
        <x:v>This is a statewide/residual category, not a plant-level record. The allocation preserves the row total but is an analytical proxy, not an observed facility location.</x:v>
      </x:c>
    </x:row>
    <x:row r="250">
      <x:c r="A250" s="14" t="n">
        <x:v>184</x:v>
      </x:c>
      <x:c r="B250" s="14" t="str">
        <x:v>Solar</x:v>
      </x:c>
      <x:c r="C250" s="14" t="str">
        <x:v>operational</x:v>
      </x:c>
      <x:c r="D250" s="20" t="str">
        <x:v>Tamil Nadu N.A. Others (Districts not specified) 8930.85</x:v>
      </x:c>
      <x:c r="E250" s="14" t="str">
        <x:v>Tamil Nadu</x:v>
      </x:c>
      <x:c r="F250" s="14" t="str">
        <x:v>N.A.</x:v>
      </x:c>
      <x:c r="G250" s="14" t="str">
        <x:v>Krishnagiri</x:v>
      </x:c>
      <x:c r="H250" s="14"/>
      <x:c r="I250" s="15" t="n">
        <x:v>8930.85</x:v>
      </x:c>
      <x:c r="J250" s="16" t="n">
        <x:v>0.00026181940046848216</x:v>
      </x:c>
      <x:c r="K250" s="15" t="n">
        <x:f>I250*J250</x:f>
        <x:v>2.3382697926739437</x:v>
      </x:c>
      <x:c r="L250" s="20"/>
      <x:c r="M250" s="20" t="str">
        <x:v>Proportional proxy using known Solar capacity by district in PlantInfo</x:v>
      </x:c>
      <x:c r="N250" s="20" t="str">
        <x:v>https://mnre.gov.in/en/physical-progress/</x:v>
      </x:c>
      <x:c r="O250" s="20" t="str">
        <x:v>Low</x:v>
      </x:c>
      <x:c r="P250" s="20" t="str">
        <x:v>This is a statewide/residual category, not a plant-level record. The allocation preserves the row total but is an analytical proxy, not an observed facility location.</x:v>
      </x:c>
    </x:row>
    <x:row r="251">
      <x:c r="A251" s="14" t="n">
        <x:v>184</x:v>
      </x:c>
      <x:c r="B251" s="14" t="str">
        <x:v>Solar</x:v>
      </x:c>
      <x:c r="C251" s="14" t="str">
        <x:v>operational</x:v>
      </x:c>
      <x:c r="D251" s="20" t="str">
        <x:v>Tamil Nadu N.A. Others (Districts not specified) 8930.85</x:v>
      </x:c>
      <x:c r="E251" s="14" t="str">
        <x:v>Tamil Nadu</x:v>
      </x:c>
      <x:c r="F251" s="14" t="str">
        <x:v>N.A.</x:v>
      </x:c>
      <x:c r="G251" s="14" t="str">
        <x:v>Madurai</x:v>
      </x:c>
      <x:c r="H251" s="14"/>
      <x:c r="I251" s="15" t="n">
        <x:v>8930.85</x:v>
      </x:c>
      <x:c r="J251" s="16" t="n">
        <x:v>0.0003490925339579762</x:v>
      </x:c>
      <x:c r="K251" s="15" t="n">
        <x:f>I251*J251</x:f>
        <x:v>3.117693056898592</x:v>
      </x:c>
      <x:c r="L251" s="20"/>
      <x:c r="M251" s="20" t="str">
        <x:v>Proportional proxy using known Solar capacity by district in PlantInfo</x:v>
      </x:c>
      <x:c r="N251" s="20" t="str">
        <x:v>https://mnre.gov.in/en/physical-progress/</x:v>
      </x:c>
      <x:c r="O251" s="20" t="str">
        <x:v>Low</x:v>
      </x:c>
      <x:c r="P251" s="20" t="str">
        <x:v>This is a statewide/residual category, not a plant-level record. The allocation preserves the row total but is an analytical proxy, not an observed facility location.</x:v>
      </x:c>
    </x:row>
    <x:row r="252">
      <x:c r="A252" s="14" t="n">
        <x:v>184</x:v>
      </x:c>
      <x:c r="B252" s="14" t="str">
        <x:v>Solar</x:v>
      </x:c>
      <x:c r="C252" s="14" t="str">
        <x:v>operational</x:v>
      </x:c>
      <x:c r="D252" s="20" t="str">
        <x:v>Tamil Nadu N.A. Others (Districts not specified) 8930.85</x:v>
      </x:c>
      <x:c r="E252" s="14" t="str">
        <x:v>Tamil Nadu</x:v>
      </x:c>
      <x:c r="F252" s="14" t="str">
        <x:v>N.A.</x:v>
      </x:c>
      <x:c r="G252" s="14" t="str">
        <x:v>Nagapattinam</x:v>
      </x:c>
      <x:c r="H252" s="14"/>
      <x:c r="I252" s="15" t="n">
        <x:v>8930.85</x:v>
      </x:c>
      <x:c r="J252" s="16" t="n">
        <x:v>0.001745462669789881</x:v>
      </x:c>
      <x:c r="K252" s="15" t="n">
        <x:f>I252*J252</x:f>
        <x:v>15.58846528449296</x:v>
      </x:c>
      <x:c r="L252" s="20"/>
      <x:c r="M252" s="20" t="str">
        <x:v>Proportional proxy using known Solar capacity by district in PlantInfo</x:v>
      </x:c>
      <x:c r="N252" s="20" t="str">
        <x:v>https://mnre.gov.in/en/physical-progress/</x:v>
      </x:c>
      <x:c r="O252" s="20" t="str">
        <x:v>Low</x:v>
      </x:c>
      <x:c r="P252" s="20" t="str">
        <x:v>This is a statewide/residual category, not a plant-level record. The allocation preserves the row total but is an analytical proxy, not an observed facility location.</x:v>
      </x:c>
    </x:row>
    <x:row r="253">
      <x:c r="A253" s="14" t="n">
        <x:v>184</x:v>
      </x:c>
      <x:c r="B253" s="14" t="str">
        <x:v>Solar</x:v>
      </x:c>
      <x:c r="C253" s="14" t="str">
        <x:v>operational</x:v>
      </x:c>
      <x:c r="D253" s="20" t="str">
        <x:v>Tamil Nadu N.A. Others (Districts not specified) 8930.85</x:v>
      </x:c>
      <x:c r="E253" s="14" t="str">
        <x:v>Tamil Nadu</x:v>
      </x:c>
      <x:c r="F253" s="14" t="str">
        <x:v>N.A.</x:v>
      </x:c>
      <x:c r="G253" s="14" t="str">
        <x:v>Perambalur</x:v>
      </x:c>
      <x:c r="H253" s="14"/>
      <x:c r="I253" s="15" t="n">
        <x:v>8930.85</x:v>
      </x:c>
      <x:c r="J253" s="16" t="n">
        <x:v>0.003490925339579762</x:v>
      </x:c>
      <x:c r="K253" s="15" t="n">
        <x:f>I253*J253</x:f>
        <x:v>31.17693056898592</x:v>
      </x:c>
      <x:c r="L253" s="20"/>
      <x:c r="M253" s="20" t="str">
        <x:v>Proportional proxy using known Solar capacity by district in PlantInfo</x:v>
      </x:c>
      <x:c r="N253" s="20" t="str">
        <x:v>https://mnre.gov.in/en/physical-progress/</x:v>
      </x:c>
      <x:c r="O253" s="20" t="str">
        <x:v>Low</x:v>
      </x:c>
      <x:c r="P253" s="20" t="str">
        <x:v>This is a statewide/residual category, not a plant-level record. The allocation preserves the row total but is an analytical proxy, not an observed facility location.</x:v>
      </x:c>
    </x:row>
    <x:row r="254">
      <x:c r="A254" s="14" t="n">
        <x:v>184</x:v>
      </x:c>
      <x:c r="B254" s="14" t="str">
        <x:v>Solar</x:v>
      </x:c>
      <x:c r="C254" s="14" t="str">
        <x:v>operational</x:v>
      </x:c>
      <x:c r="D254" s="20" t="str">
        <x:v>Tamil Nadu N.A. Others (Districts not specified) 8930.85</x:v>
      </x:c>
      <x:c r="E254" s="14" t="str">
        <x:v>Tamil Nadu</x:v>
      </x:c>
      <x:c r="F254" s="14" t="str">
        <x:v>N.A.</x:v>
      </x:c>
      <x:c r="G254" s="14" t="str">
        <x:v>Pudukkottai</x:v>
      </x:c>
      <x:c r="H254" s="14"/>
      <x:c r="I254" s="15" t="n">
        <x:v>8930.85</x:v>
      </x:c>
      <x:c r="J254" s="16" t="n">
        <x:v>0.006981850679159524</x:v>
      </x:c>
      <x:c r="K254" s="15" t="n">
        <x:f>I254*J254</x:f>
        <x:v>62.35386113797184</x:v>
      </x:c>
      <x:c r="L254" s="20"/>
      <x:c r="M254" s="20" t="str">
        <x:v>Proportional proxy using known Solar capacity by district in PlantInfo</x:v>
      </x:c>
      <x:c r="N254" s="20" t="str">
        <x:v>https://mnre.gov.in/en/physical-progress/</x:v>
      </x:c>
      <x:c r="O254" s="20" t="str">
        <x:v>Low</x:v>
      </x:c>
      <x:c r="P254" s="20" t="str">
        <x:v>This is a statewide/residual category, not a plant-level record. The allocation preserves the row total but is an analytical proxy, not an observed facility location.</x:v>
      </x:c>
    </x:row>
    <x:row r="255">
      <x:c r="A255" s="14" t="n">
        <x:v>184</x:v>
      </x:c>
      <x:c r="B255" s="14" t="str">
        <x:v>Solar</x:v>
      </x:c>
      <x:c r="C255" s="14" t="str">
        <x:v>operational</x:v>
      </x:c>
      <x:c r="D255" s="20" t="str">
        <x:v>Tamil Nadu N.A. Others (Districts not specified) 8930.85</x:v>
      </x:c>
      <x:c r="E255" s="14" t="str">
        <x:v>Tamil Nadu</x:v>
      </x:c>
      <x:c r="F255" s="14" t="str">
        <x:v>N.A.</x:v>
      </x:c>
      <x:c r="G255" s="14" t="str">
        <x:v>Ramanathapuram</x:v>
      </x:c>
      <x:c r="H255" s="14"/>
      <x:c r="I255" s="15" t="n">
        <x:v>8930.85</x:v>
      </x:c>
      <x:c r="J255" s="16" t="n">
        <x:v>0.31173963282447276</x:v>
      </x:c>
      <x:c r="K255" s="15" t="n">
        <x:f>I255*J255</x:f>
        <x:v>2784.099899810443</x:v>
      </x:c>
      <x:c r="L255" s="20"/>
      <x:c r="M255" s="20" t="str">
        <x:v>Proportional proxy using known Solar capacity by district in PlantInfo</x:v>
      </x:c>
      <x:c r="N255" s="20" t="str">
        <x:v>https://mnre.gov.in/en/physical-progress/</x:v>
      </x:c>
      <x:c r="O255" s="20" t="str">
        <x:v>Low</x:v>
      </x:c>
      <x:c r="P255" s="20" t="str">
        <x:v>This is a statewide/residual category, not a plant-level record. The allocation preserves the row total but is an analytical proxy, not an observed facility location.</x:v>
      </x:c>
    </x:row>
    <x:row r="256">
      <x:c r="A256" s="14" t="n">
        <x:v>184</x:v>
      </x:c>
      <x:c r="B256" s="14" t="str">
        <x:v>Solar</x:v>
      </x:c>
      <x:c r="C256" s="14" t="str">
        <x:v>operational</x:v>
      </x:c>
      <x:c r="D256" s="20" t="str">
        <x:v>Tamil Nadu N.A. Others (Districts not specified) 8930.85</x:v>
      </x:c>
      <x:c r="E256" s="14" t="str">
        <x:v>Tamil Nadu</x:v>
      </x:c>
      <x:c r="F256" s="14" t="str">
        <x:v>N.A.</x:v>
      </x:c>
      <x:c r="G256" s="14" t="str">
        <x:v>Sivaganga</x:v>
      </x:c>
      <x:c r="H256" s="14"/>
      <x:c r="I256" s="15" t="n">
        <x:v>8930.85</x:v>
      </x:c>
      <x:c r="J256" s="16" t="n">
        <x:v>0.0057774814370045065</x:v>
      </x:c>
      <x:c r="K256" s="15" t="n">
        <x:f>I256*J256</x:f>
        <x:v>51.5978200916717</x:v>
      </x:c>
      <x:c r="L256" s="20"/>
      <x:c r="M256" s="20" t="str">
        <x:v>Proportional proxy using known Solar capacity by district in PlantInfo</x:v>
      </x:c>
      <x:c r="N256" s="20" t="str">
        <x:v>https://mnre.gov.in/en/physical-progress/</x:v>
      </x:c>
      <x:c r="O256" s="20" t="str">
        <x:v>Low</x:v>
      </x:c>
      <x:c r="P256" s="20" t="str">
        <x:v>This is a statewide/residual category, not a plant-level record. The allocation preserves the row total but is an analytical proxy, not an observed facility location.</x:v>
      </x:c>
    </x:row>
    <x:row r="257">
      <x:c r="A257" s="14" t="n">
        <x:v>184</x:v>
      </x:c>
      <x:c r="B257" s="14" t="str">
        <x:v>Solar</x:v>
      </x:c>
      <x:c r="C257" s="14" t="str">
        <x:v>operational</x:v>
      </x:c>
      <x:c r="D257" s="20" t="str">
        <x:v>Tamil Nadu N.A. Others (Districts not specified) 8930.85</x:v>
      </x:c>
      <x:c r="E257" s="14" t="str">
        <x:v>Tamil Nadu</x:v>
      </x:c>
      <x:c r="F257" s="14" t="str">
        <x:v>N.A.</x:v>
      </x:c>
      <x:c r="G257" s="14" t="str">
        <x:v>Thoothukudi</x:v>
      </x:c>
      <x:c r="H257" s="14"/>
      <x:c r="I257" s="15" t="n">
        <x:v>8930.85</x:v>
      </x:c>
      <x:c r="J257" s="16" t="n">
        <x:v>0.07959309774241857</x:v>
      </x:c>
      <x:c r="K257" s="15" t="n">
        <x:f>I257*J257</x:f>
        <x:v>710.8340169728789</x:v>
      </x:c>
      <x:c r="L257" s="20"/>
      <x:c r="M257" s="20" t="str">
        <x:v>Proportional proxy using known Solar capacity by district in PlantInfo</x:v>
      </x:c>
      <x:c r="N257" s="20" t="str">
        <x:v>https://mnre.gov.in/en/physical-progress/</x:v>
      </x:c>
      <x:c r="O257" s="20" t="str">
        <x:v>Low</x:v>
      </x:c>
      <x:c r="P257" s="20" t="str">
        <x:v>This is a statewide/residual category, not a plant-level record. The allocation preserves the row total but is an analytical proxy, not an observed facility location.</x:v>
      </x:c>
    </x:row>
    <x:row r="258">
      <x:c r="A258" s="14" t="n">
        <x:v>184</x:v>
      </x:c>
      <x:c r="B258" s="14" t="str">
        <x:v>Solar</x:v>
      </x:c>
      <x:c r="C258" s="14" t="str">
        <x:v>operational</x:v>
      </x:c>
      <x:c r="D258" s="20" t="str">
        <x:v>Tamil Nadu N.A. Others (Districts not specified) 8930.85</x:v>
      </x:c>
      <x:c r="E258" s="14" t="str">
        <x:v>Tamil Nadu</x:v>
      </x:c>
      <x:c r="F258" s="14" t="str">
        <x:v>N.A.</x:v>
      </x:c>
      <x:c r="G258" s="14" t="str">
        <x:v>Tiruchirappalli</x:v>
      </x:c>
      <x:c r="H258" s="14"/>
      <x:c r="I258" s="15" t="n">
        <x:v>8930.85</x:v>
      </x:c>
      <x:c r="J258" s="16" t="n">
        <x:v>0.05899663823889798</x:v>
      </x:c>
      <x:c r="K258" s="15" t="n">
        <x:f>I258*J258</x:f>
        <x:v>526.8901266158621</x:v>
      </x:c>
      <x:c r="L258" s="20"/>
      <x:c r="M258" s="20" t="str">
        <x:v>Proportional proxy using known Solar capacity by district in PlantInfo</x:v>
      </x:c>
      <x:c r="N258" s="20" t="str">
        <x:v>https://mnre.gov.in/en/physical-progress/</x:v>
      </x:c>
      <x:c r="O258" s="20" t="str">
        <x:v>Low</x:v>
      </x:c>
      <x:c r="P258" s="20" t="str">
        <x:v>This is a statewide/residual category, not a plant-level record. The allocation preserves the row total but is an analytical proxy, not an observed facility location.</x:v>
      </x:c>
    </x:row>
    <x:row r="259">
      <x:c r="A259" s="14" t="n">
        <x:v>184</x:v>
      </x:c>
      <x:c r="B259" s="14" t="str">
        <x:v>Solar</x:v>
      </x:c>
      <x:c r="C259" s="14" t="str">
        <x:v>operational</x:v>
      </x:c>
      <x:c r="D259" s="20" t="str">
        <x:v>Tamil Nadu N.A. Others (Districts not specified) 8930.85</x:v>
      </x:c>
      <x:c r="E259" s="14" t="str">
        <x:v>Tamil Nadu</x:v>
      </x:c>
      <x:c r="F259" s="14" t="str">
        <x:v>N.A.</x:v>
      </x:c>
      <x:c r="G259" s="14" t="str">
        <x:v>Tirunelveli</x:v>
      </x:c>
      <x:c r="H259" s="14"/>
      <x:c r="I259" s="15" t="n">
        <x:v>8930.85</x:v>
      </x:c>
      <x:c r="J259" s="16" t="n">
        <x:v>0.10799526630523953</x:v>
      </x:c>
      <x:c r="K259" s="15" t="n">
        <x:f>I259*J259</x:f>
        <x:v>964.4895240821486</x:v>
      </x:c>
      <x:c r="L259" s="20"/>
      <x:c r="M259" s="20" t="str">
        <x:v>Proportional proxy using known Solar capacity by district in PlantInfo</x:v>
      </x:c>
      <x:c r="N259" s="20" t="str">
        <x:v>https://mnre.gov.in/en/physical-progress/</x:v>
      </x:c>
      <x:c r="O259" s="20" t="str">
        <x:v>Low</x:v>
      </x:c>
      <x:c r="P259" s="20" t="str">
        <x:v>This is a statewide/residual category, not a plant-level record. The allocation preserves the row total but is an analytical proxy, not an observed facility location.</x:v>
      </x:c>
    </x:row>
    <x:row r="260">
      <x:c r="A260" s="14" t="n">
        <x:v>184</x:v>
      </x:c>
      <x:c r="B260" s="14" t="str">
        <x:v>Solar</x:v>
      </x:c>
      <x:c r="C260" s="14" t="str">
        <x:v>operational</x:v>
      </x:c>
      <x:c r="D260" s="20" t="str">
        <x:v>Tamil Nadu N.A. Others (Districts not specified) 8930.85</x:v>
      </x:c>
      <x:c r="E260" s="14" t="str">
        <x:v>Tamil Nadu</x:v>
      </x:c>
      <x:c r="F260" s="14" t="str">
        <x:v>N.A.</x:v>
      </x:c>
      <x:c r="G260" s="14" t="str">
        <x:v>Tiruppur</x:v>
      </x:c>
      <x:c r="H260" s="14"/>
      <x:c r="I260" s="15" t="n">
        <x:v>8930.85</x:v>
      </x:c>
      <x:c r="J260" s="16" t="n">
        <x:v>0.017210261924128226</x:v>
      </x:c>
      <x:c r="K260" s="15" t="n">
        <x:f>I260*J260</x:f>
        <x:v>153.70226770510058</x:v>
      </x:c>
      <x:c r="L260" s="20"/>
      <x:c r="M260" s="20" t="str">
        <x:v>Proportional proxy using known Solar capacity by district in PlantInfo</x:v>
      </x:c>
      <x:c r="N260" s="20" t="str">
        <x:v>https://mnre.gov.in/en/physical-progress/</x:v>
      </x:c>
      <x:c r="O260" s="20" t="str">
        <x:v>Low</x:v>
      </x:c>
      <x:c r="P260" s="20" t="str">
        <x:v>This is a statewide/residual category, not a plant-level record. The allocation preserves the row total but is an analytical proxy, not an observed facility location.</x:v>
      </x:c>
    </x:row>
    <x:row r="261">
      <x:c r="A261" s="14" t="n">
        <x:v>184</x:v>
      </x:c>
      <x:c r="B261" s="14" t="str">
        <x:v>Solar</x:v>
      </x:c>
      <x:c r="C261" s="14" t="str">
        <x:v>operational</x:v>
      </x:c>
      <x:c r="D261" s="20" t="str">
        <x:v>Tamil Nadu N.A. Others (Districts not specified) 8930.85</x:v>
      </x:c>
      <x:c r="E261" s="14" t="str">
        <x:v>Tamil Nadu</x:v>
      </x:c>
      <x:c r="F261" s="14" t="str">
        <x:v>N.A.</x:v>
      </x:c>
      <x:c r="G261" s="14" t="str">
        <x:v>Tiruvannamalai</x:v>
      </x:c>
      <x:c r="H261" s="14"/>
      <x:c r="I261" s="15" t="n">
        <x:v>8930.85</x:v>
      </x:c>
      <x:c r="J261" s="16" t="n">
        <x:v>0.010821868552697263</x:v>
      </x:c>
      <x:c r="K261" s="15" t="n">
        <x:f>I261*J261</x:f>
        <x:v>96.64848476385636</x:v>
      </x:c>
      <x:c r="L261" s="20"/>
      <x:c r="M261" s="20" t="str">
        <x:v>Proportional proxy using known Solar capacity by district in PlantInfo</x:v>
      </x:c>
      <x:c r="N261" s="20" t="str">
        <x:v>https://mnre.gov.in/en/physical-progress/</x:v>
      </x:c>
      <x:c r="O261" s="20" t="str">
        <x:v>Low</x:v>
      </x:c>
      <x:c r="P261" s="20" t="str">
        <x:v>This is a statewide/residual category, not a plant-level record. The allocation preserves the row total but is an analytical proxy, not an observed facility location.</x:v>
      </x:c>
    </x:row>
    <x:row r="262">
      <x:c r="A262" s="14" t="n">
        <x:v>184</x:v>
      </x:c>
      <x:c r="B262" s="14" t="str">
        <x:v>Solar</x:v>
      </x:c>
      <x:c r="C262" s="14" t="str">
        <x:v>operational</x:v>
      </x:c>
      <x:c r="D262" s="20" t="str">
        <x:v>Tamil Nadu N.A. Others (Districts not specified) 8930.85</x:v>
      </x:c>
      <x:c r="E262" s="14" t="str">
        <x:v>Tamil Nadu</x:v>
      </x:c>
      <x:c r="F262" s="14" t="str">
        <x:v>N.A.</x:v>
      </x:c>
      <x:c r="G262" s="14" t="str">
        <x:v>Vellore</x:v>
      </x:c>
      <x:c r="H262" s="14"/>
      <x:c r="I262" s="15" t="n">
        <x:v>8930.85</x:v>
      </x:c>
      <x:c r="J262" s="16" t="n">
        <x:v>0.001745462669789881</x:v>
      </x:c>
      <x:c r="K262" s="15" t="n">
        <x:f>I262*J262</x:f>
        <x:v>15.58846528449296</x:v>
      </x:c>
      <x:c r="L262" s="20"/>
      <x:c r="M262" s="20" t="str">
        <x:v>Proportional proxy using known Solar capacity by district in PlantInfo</x:v>
      </x:c>
      <x:c r="N262" s="20" t="str">
        <x:v>https://mnre.gov.in/en/physical-progress/</x:v>
      </x:c>
      <x:c r="O262" s="20" t="str">
        <x:v>Low</x:v>
      </x:c>
      <x:c r="P262" s="20" t="str">
        <x:v>This is a statewide/residual category, not a plant-level record. The allocation preserves the row total but is an analytical proxy, not an observed facility location.</x:v>
      </x:c>
    </x:row>
    <x:row r="263">
      <x:c r="A263" s="14" t="n">
        <x:v>184</x:v>
      </x:c>
      <x:c r="B263" s="14" t="str">
        <x:v>Solar</x:v>
      </x:c>
      <x:c r="C263" s="14" t="str">
        <x:v>operational</x:v>
      </x:c>
      <x:c r="D263" s="20" t="str">
        <x:v>Tamil Nadu N.A. Others (Districts not specified) 8930.85</x:v>
      </x:c>
      <x:c r="E263" s="14" t="str">
        <x:v>Tamil Nadu</x:v>
      </x:c>
      <x:c r="F263" s="14" t="str">
        <x:v>N.A.</x:v>
      </x:c>
      <x:c r="G263" s="14" t="str">
        <x:v>Virudhunagar</x:v>
      </x:c>
      <x:c r="H263" s="14"/>
      <x:c r="I263" s="15" t="n">
        <x:v>8930.85</x:v>
      </x:c>
      <x:c r="J263" s="16" t="n">
        <x:v>0.2392680227747969</x:v>
      </x:c>
      <x:c r="K263" s="15" t="n">
        <x:f>I263*J263</x:f>
        <x:v>2136.866821198295</x:v>
      </x:c>
      <x:c r="L263" s="20"/>
      <x:c r="M263" s="20" t="str">
        <x:v>Proportional proxy using known Solar capacity by district in PlantInfo</x:v>
      </x:c>
      <x:c r="N263" s="20" t="str">
        <x:v>https://mnre.gov.in/en/physical-progress/</x:v>
      </x:c>
      <x:c r="O263" s="20" t="str">
        <x:v>Low</x:v>
      </x:c>
      <x:c r="P263" s="20" t="str">
        <x:v>This is a statewide/residual category, not a plant-level record. The allocation preserves the row total but is an analytical proxy, not an observed facility location.</x:v>
      </x:c>
    </x:row>
    <x:row r="264">
      <x:c r="A264" s="14" t="n">
        <x:v>185</x:v>
      </x:c>
      <x:c r="B264" s="14" t="str">
        <x:v>Solar</x:v>
      </x:c>
      <x:c r="C264" s="14" t="str">
        <x:v>operational</x:v>
      </x:c>
      <x:c r="D264" s="20" t="str">
        <x:v>Tamil Nadu N.A. Rooftop (Grid Connected) 1635.8</x:v>
      </x:c>
      <x:c r="E264" s="14" t="str">
        <x:v>Tamil Nadu</x:v>
      </x:c>
      <x:c r="F264" s="14" t="str">
        <x:v>N.A.</x:v>
      </x:c>
      <x:c r="G264" s="14" t="str">
        <x:v>Chennai</x:v>
      </x:c>
      <x:c r="H264" s="14"/>
      <x:c r="I264" s="15" t="n">
        <x:v>1635.8</x:v>
      </x:c>
      <x:c r="J264" s="16" t="n">
        <x:v>0.005585480543327619</x:v>
      </x:c>
      <x:c r="K264" s="15" t="n">
        <x:f>I264*J264</x:f>
        <x:v>9.136729072775319</x:v>
      </x:c>
      <x:c r="L264" s="20"/>
      <x:c r="M264" s="20" t="str">
        <x:v>Proportional proxy using known Solar capacity by district in PlantInfo</x:v>
      </x:c>
      <x:c r="N264" s="20" t="str">
        <x:v>https://mnre.gov.in/en/physical-progress/</x:v>
      </x:c>
      <x:c r="O264" s="20" t="str">
        <x:v>Low</x:v>
      </x:c>
      <x:c r="P264" s="20" t="str">
        <x:v>This is a statewide/residual category, not a plant-level record. The allocation preserves the row total but is an analytical proxy, not an observed facility location.</x:v>
      </x:c>
    </x:row>
    <x:row r="265">
      <x:c r="A265" s="14" t="n">
        <x:v>185</x:v>
      </x:c>
      <x:c r="B265" s="14" t="str">
        <x:v>Solar</x:v>
      </x:c>
      <x:c r="C265" s="14" t="str">
        <x:v>operational</x:v>
      </x:c>
      <x:c r="D265" s="20" t="str">
        <x:v>Tamil Nadu N.A. Rooftop (Grid Connected) 1635.8</x:v>
      </x:c>
      <x:c r="E265" s="14" t="str">
        <x:v>Tamil Nadu</x:v>
      </x:c>
      <x:c r="F265" s="14" t="str">
        <x:v>N.A.</x:v>
      </x:c>
      <x:c r="G265" s="14" t="str">
        <x:v>Coimbatore</x:v>
      </x:c>
      <x:c r="H265" s="14"/>
      <x:c r="I265" s="15" t="n">
        <x:v>1635.8</x:v>
      </x:c>
      <x:c r="J265" s="16" t="n">
        <x:v>0.003930781932366812</x:v>
      </x:c>
      <x:c r="K265" s="15" t="n">
        <x:f>I265*J265</x:f>
        <x:v>6.4299730849656305</x:v>
      </x:c>
      <x:c r="L265" s="20"/>
      <x:c r="M265" s="20" t="str">
        <x:v>Proportional proxy using known Solar capacity by district in PlantInfo</x:v>
      </x:c>
      <x:c r="N265" s="20" t="str">
        <x:v>https://mnre.gov.in/en/physical-progress/</x:v>
      </x:c>
      <x:c r="O265" s="20" t="str">
        <x:v>Low</x:v>
      </x:c>
      <x:c r="P265" s="20" t="str">
        <x:v>This is a statewide/residual category, not a plant-level record. The allocation preserves the row total but is an analytical proxy, not an observed facility location.</x:v>
      </x:c>
    </x:row>
    <x:row r="266">
      <x:c r="A266" s="14" t="n">
        <x:v>185</x:v>
      </x:c>
      <x:c r="B266" s="14" t="str">
        <x:v>Solar</x:v>
      </x:c>
      <x:c r="C266" s="14" t="str">
        <x:v>operational</x:v>
      </x:c>
      <x:c r="D266" s="20" t="str">
        <x:v>Tamil Nadu N.A. Rooftop (Grid Connected) 1635.8</x:v>
      </x:c>
      <x:c r="E266" s="14" t="str">
        <x:v>Tamil Nadu</x:v>
      </x:c>
      <x:c r="F266" s="14" t="str">
        <x:v>N.A.</x:v>
      </x:c>
      <x:c r="G266" s="14" t="str">
        <x:v>Cuddalore</x:v>
      </x:c>
      <x:c r="H266" s="14"/>
      <x:c r="I266" s="15" t="n">
        <x:v>1635.8</x:v>
      </x:c>
      <x:c r="J266" s="16" t="n">
        <x:v>0.04887295475411667</x:v>
      </x:c>
      <x:c r="K266" s="15" t="n">
        <x:f>I266*J266</x:f>
        <x:v>79.94637938678405</x:v>
      </x:c>
      <x:c r="L266" s="20"/>
      <x:c r="M266" s="20" t="str">
        <x:v>Proportional proxy using known Solar capacity by district in PlantInfo</x:v>
      </x:c>
      <x:c r="N266" s="20" t="str">
        <x:v>https://mnre.gov.in/en/physical-progress/</x:v>
      </x:c>
      <x:c r="O266" s="20" t="str">
        <x:v>Low</x:v>
      </x:c>
      <x:c r="P266" s="20" t="str">
        <x:v>This is a statewide/residual category, not a plant-level record. The allocation preserves the row total but is an analytical proxy, not an observed facility location.</x:v>
      </x:c>
    </x:row>
    <x:row r="267">
      <x:c r="A267" s="14" t="n">
        <x:v>185</x:v>
      </x:c>
      <x:c r="B267" s="14" t="str">
        <x:v>Solar</x:v>
      </x:c>
      <x:c r="C267" s="14" t="str">
        <x:v>operational</x:v>
      </x:c>
      <x:c r="D267" s="20" t="str">
        <x:v>Tamil Nadu N.A. Rooftop (Grid Connected) 1635.8</x:v>
      </x:c>
      <x:c r="E267" s="14" t="str">
        <x:v>Tamil Nadu</x:v>
      </x:c>
      <x:c r="F267" s="14" t="str">
        <x:v>N.A.</x:v>
      </x:c>
      <x:c r="G267" s="14" t="str">
        <x:v>Dindigul</x:v>
      </x:c>
      <x:c r="H267" s="14"/>
      <x:c r="I267" s="15" t="n">
        <x:v>1635.8</x:v>
      </x:c>
      <x:c r="J267" s="16" t="n">
        <x:v>0.038211668767040075</x:v>
      </x:c>
      <x:c r="K267" s="15" t="n">
        <x:f>I267*J267</x:f>
        <x:v>62.50664776912415</x:v>
      </x:c>
      <x:c r="L267" s="20"/>
      <x:c r="M267" s="20" t="str">
        <x:v>Proportional proxy using known Solar capacity by district in PlantInfo</x:v>
      </x:c>
      <x:c r="N267" s="20" t="str">
        <x:v>https://mnre.gov.in/en/physical-progress/</x:v>
      </x:c>
      <x:c r="O267" s="20" t="str">
        <x:v>Low</x:v>
      </x:c>
      <x:c r="P267" s="20" t="str">
        <x:v>This is a statewide/residual category, not a plant-level record. The allocation preserves the row total but is an analytical proxy, not an observed facility location.</x:v>
      </x:c>
    </x:row>
    <x:row r="268">
      <x:c r="A268" s="14" t="n">
        <x:v>185</x:v>
      </x:c>
      <x:c r="B268" s="14" t="str">
        <x:v>Solar</x:v>
      </x:c>
      <x:c r="C268" s="14" t="str">
        <x:v>operational</x:v>
      </x:c>
      <x:c r="D268" s="20" t="str">
        <x:v>Tamil Nadu N.A. Rooftop (Grid Connected) 1635.8</x:v>
      </x:c>
      <x:c r="E268" s="14" t="str">
        <x:v>Tamil Nadu</x:v>
      </x:c>
      <x:c r="F268" s="14" t="str">
        <x:v>N.A.</x:v>
      </x:c>
      <x:c r="G268" s="14" t="str">
        <x:v>Erode</x:v>
      </x:c>
      <x:c r="H268" s="14"/>
      <x:c r="I268" s="15" t="n">
        <x:v>1635.8</x:v>
      </x:c>
      <x:c r="J268" s="16" t="n">
        <x:v>0.0024436477377058337</x:v>
      </x:c>
      <x:c r="K268" s="15" t="n">
        <x:f>I268*J268</x:f>
        <x:v>3.9973189693392026</x:v>
      </x:c>
      <x:c r="L268" s="20"/>
      <x:c r="M268" s="20" t="str">
        <x:v>Proportional proxy using known Solar capacity by district in PlantInfo</x:v>
      </x:c>
      <x:c r="N268" s="20" t="str">
        <x:v>https://mnre.gov.in/en/physical-progress/</x:v>
      </x:c>
      <x:c r="O268" s="20" t="str">
        <x:v>Low</x:v>
      </x:c>
      <x:c r="P268" s="20" t="str">
        <x:v>This is a statewide/residual category, not a plant-level record. The allocation preserves the row total but is an analytical proxy, not an observed facility location.</x:v>
      </x:c>
    </x:row>
    <x:row r="269">
      <x:c r="A269" s="14" t="n">
        <x:v>185</x:v>
      </x:c>
      <x:c r="B269" s="14" t="str">
        <x:v>Solar</x:v>
      </x:c>
      <x:c r="C269" s="14" t="str">
        <x:v>operational</x:v>
      </x:c>
      <x:c r="D269" s="20" t="str">
        <x:v>Tamil Nadu N.A. Rooftop (Grid Connected) 1635.8</x:v>
      </x:c>
      <x:c r="E269" s="14" t="str">
        <x:v>Tamil Nadu</x:v>
      </x:c>
      <x:c r="F269" s="14" t="str">
        <x:v>N.A.</x:v>
      </x:c>
      <x:c r="G269" s="14" t="str">
        <x:v>Kanyakumari</x:v>
      </x:c>
      <x:c r="H269" s="14"/>
      <x:c r="I269" s="15" t="n">
        <x:v>1635.8</x:v>
      </x:c>
      <x:c r="J269" s="16" t="n">
        <x:v>0.0003490925339579762</x:v>
      </x:c>
      <x:c r="K269" s="15" t="n">
        <x:f>I269*J269</x:f>
        <x:v>0.5710455670484574</x:v>
      </x:c>
      <x:c r="L269" s="20"/>
      <x:c r="M269" s="20" t="str">
        <x:v>Proportional proxy using known Solar capacity by district in PlantInfo</x:v>
      </x:c>
      <x:c r="N269" s="20" t="str">
        <x:v>https://mnre.gov.in/en/physical-progress/</x:v>
      </x:c>
      <x:c r="O269" s="20" t="str">
        <x:v>Low</x:v>
      </x:c>
      <x:c r="P269" s="20" t="str">
        <x:v>This is a statewide/residual category, not a plant-level record. The allocation preserves the row total but is an analytical proxy, not an observed facility location.</x:v>
      </x:c>
    </x:row>
    <x:row r="270">
      <x:c r="A270" s="14" t="n">
        <x:v>185</x:v>
      </x:c>
      <x:c r="B270" s="14" t="str">
        <x:v>Solar</x:v>
      </x:c>
      <x:c r="C270" s="14" t="str">
        <x:v>operational</x:v>
      </x:c>
      <x:c r="D270" s="20" t="str">
        <x:v>Tamil Nadu N.A. Rooftop (Grid Connected) 1635.8</x:v>
      </x:c>
      <x:c r="E270" s="14" t="str">
        <x:v>Tamil Nadu</x:v>
      </x:c>
      <x:c r="F270" s="14" t="str">
        <x:v>N.A.</x:v>
      </x:c>
      <x:c r="G270" s="14" t="str">
        <x:v>Karur</x:v>
      </x:c>
      <x:c r="H270" s="14"/>
      <x:c r="I270" s="15" t="n">
        <x:v>1635.8</x:v>
      </x:c>
      <x:c r="J270" s="16" t="n">
        <x:v>0.054629490639083705</x:v>
      </x:c>
      <x:c r="K270" s="15" t="n">
        <x:f>I270*J270</x:f>
        <x:v>89.36292078741312</x:v>
      </x:c>
      <x:c r="L270" s="20"/>
      <x:c r="M270" s="20" t="str">
        <x:v>Proportional proxy using known Solar capacity by district in PlantInfo</x:v>
      </x:c>
      <x:c r="N270" s="20" t="str">
        <x:v>https://mnre.gov.in/en/physical-progress/</x:v>
      </x:c>
      <x:c r="O270" s="20" t="str">
        <x:v>Low</x:v>
      </x:c>
      <x:c r="P270" s="20" t="str">
        <x:v>This is a statewide/residual category, not a plant-level record. The allocation preserves the row total but is an analytical proxy, not an observed facility location.</x:v>
      </x:c>
    </x:row>
    <x:row r="271">
      <x:c r="A271" s="14" t="n">
        <x:v>185</x:v>
      </x:c>
      <x:c r="B271" s="14" t="str">
        <x:v>Solar</x:v>
      </x:c>
      <x:c r="C271" s="14" t="str">
        <x:v>operational</x:v>
      </x:c>
      <x:c r="D271" s="20" t="str">
        <x:v>Tamil Nadu N.A. Rooftop (Grid Connected) 1635.8</x:v>
      </x:c>
      <x:c r="E271" s="14" t="str">
        <x:v>Tamil Nadu</x:v>
      </x:c>
      <x:c r="F271" s="14" t="str">
        <x:v>N.A.</x:v>
      </x:c>
      <x:c r="G271" s="14" t="str">
        <x:v>Krishnagiri</x:v>
      </x:c>
      <x:c r="H271" s="14"/>
      <x:c r="I271" s="15" t="n">
        <x:v>1635.8</x:v>
      </x:c>
      <x:c r="J271" s="16" t="n">
        <x:v>0.00026181940046848216</x:v>
      </x:c>
      <x:c r="K271" s="15" t="n">
        <x:f>I271*J271</x:f>
        <x:v>0.4282841752863431</x:v>
      </x:c>
      <x:c r="L271" s="20"/>
      <x:c r="M271" s="20" t="str">
        <x:v>Proportional proxy using known Solar capacity by district in PlantInfo</x:v>
      </x:c>
      <x:c r="N271" s="20" t="str">
        <x:v>https://mnre.gov.in/en/physical-progress/</x:v>
      </x:c>
      <x:c r="O271" s="20" t="str">
        <x:v>Low</x:v>
      </x:c>
      <x:c r="P271" s="20" t="str">
        <x:v>This is a statewide/residual category, not a plant-level record. The allocation preserves the row total but is an analytical proxy, not an observed facility location.</x:v>
      </x:c>
    </x:row>
    <x:row r="272">
      <x:c r="A272" s="14" t="n">
        <x:v>185</x:v>
      </x:c>
      <x:c r="B272" s="14" t="str">
        <x:v>Solar</x:v>
      </x:c>
      <x:c r="C272" s="14" t="str">
        <x:v>operational</x:v>
      </x:c>
      <x:c r="D272" s="20" t="str">
        <x:v>Tamil Nadu N.A. Rooftop (Grid Connected) 1635.8</x:v>
      </x:c>
      <x:c r="E272" s="14" t="str">
        <x:v>Tamil Nadu</x:v>
      </x:c>
      <x:c r="F272" s="14" t="str">
        <x:v>N.A.</x:v>
      </x:c>
      <x:c r="G272" s="14" t="str">
        <x:v>Madurai</x:v>
      </x:c>
      <x:c r="H272" s="14"/>
      <x:c r="I272" s="15" t="n">
        <x:v>1635.8</x:v>
      </x:c>
      <x:c r="J272" s="16" t="n">
        <x:v>0.0003490925339579762</x:v>
      </x:c>
      <x:c r="K272" s="15" t="n">
        <x:f>I272*J272</x:f>
        <x:v>0.5710455670484574</x:v>
      </x:c>
      <x:c r="L272" s="20"/>
      <x:c r="M272" s="20" t="str">
        <x:v>Proportional proxy using known Solar capacity by district in PlantInfo</x:v>
      </x:c>
      <x:c r="N272" s="20" t="str">
        <x:v>https://mnre.gov.in/en/physical-progress/</x:v>
      </x:c>
      <x:c r="O272" s="20" t="str">
        <x:v>Low</x:v>
      </x:c>
      <x:c r="P272" s="20" t="str">
        <x:v>This is a statewide/residual category, not a plant-level record. The allocation preserves the row total but is an analytical proxy, not an observed facility location.</x:v>
      </x:c>
    </x:row>
    <x:row r="273">
      <x:c r="A273" s="14" t="n">
        <x:v>185</x:v>
      </x:c>
      <x:c r="B273" s="14" t="str">
        <x:v>Solar</x:v>
      </x:c>
      <x:c r="C273" s="14" t="str">
        <x:v>operational</x:v>
      </x:c>
      <x:c r="D273" s="20" t="str">
        <x:v>Tamil Nadu N.A. Rooftop (Grid Connected) 1635.8</x:v>
      </x:c>
      <x:c r="E273" s="14" t="str">
        <x:v>Tamil Nadu</x:v>
      </x:c>
      <x:c r="F273" s="14" t="str">
        <x:v>N.A.</x:v>
      </x:c>
      <x:c r="G273" s="14" t="str">
        <x:v>Nagapattinam</x:v>
      </x:c>
      <x:c r="H273" s="14"/>
      <x:c r="I273" s="15" t="n">
        <x:v>1635.8</x:v>
      </x:c>
      <x:c r="J273" s="16" t="n">
        <x:v>0.001745462669789881</x:v>
      </x:c>
      <x:c r="K273" s="15" t="n">
        <x:f>I273*J273</x:f>
        <x:v>2.8552278352422875</x:v>
      </x:c>
      <x:c r="L273" s="20"/>
      <x:c r="M273" s="20" t="str">
        <x:v>Proportional proxy using known Solar capacity by district in PlantInfo</x:v>
      </x:c>
      <x:c r="N273" s="20" t="str">
        <x:v>https://mnre.gov.in/en/physical-progress/</x:v>
      </x:c>
      <x:c r="O273" s="20" t="str">
        <x:v>Low</x:v>
      </x:c>
      <x:c r="P273" s="20" t="str">
        <x:v>This is a statewide/residual category, not a plant-level record. The allocation preserves the row total but is an analytical proxy, not an observed facility location.</x:v>
      </x:c>
    </x:row>
    <x:row r="274">
      <x:c r="A274" s="14" t="n">
        <x:v>185</x:v>
      </x:c>
      <x:c r="B274" s="14" t="str">
        <x:v>Solar</x:v>
      </x:c>
      <x:c r="C274" s="14" t="str">
        <x:v>operational</x:v>
      </x:c>
      <x:c r="D274" s="20" t="str">
        <x:v>Tamil Nadu N.A. Rooftop (Grid Connected) 1635.8</x:v>
      </x:c>
      <x:c r="E274" s="14" t="str">
        <x:v>Tamil Nadu</x:v>
      </x:c>
      <x:c r="F274" s="14" t="str">
        <x:v>N.A.</x:v>
      </x:c>
      <x:c r="G274" s="14" t="str">
        <x:v>Perambalur</x:v>
      </x:c>
      <x:c r="H274" s="14"/>
      <x:c r="I274" s="15" t="n">
        <x:v>1635.8</x:v>
      </x:c>
      <x:c r="J274" s="16" t="n">
        <x:v>0.003490925339579762</x:v>
      </x:c>
      <x:c r="K274" s="15" t="n">
        <x:f>I274*J274</x:f>
        <x:v>5.710455670484575</x:v>
      </x:c>
      <x:c r="L274" s="20"/>
      <x:c r="M274" s="20" t="str">
        <x:v>Proportional proxy using known Solar capacity by district in PlantInfo</x:v>
      </x:c>
      <x:c r="N274" s="20" t="str">
        <x:v>https://mnre.gov.in/en/physical-progress/</x:v>
      </x:c>
      <x:c r="O274" s="20" t="str">
        <x:v>Low</x:v>
      </x:c>
      <x:c r="P274" s="20" t="str">
        <x:v>This is a statewide/residual category, not a plant-level record. The allocation preserves the row total but is an analytical proxy, not an observed facility location.</x:v>
      </x:c>
    </x:row>
    <x:row r="275">
      <x:c r="A275" s="14" t="n">
        <x:v>185</x:v>
      </x:c>
      <x:c r="B275" s="14" t="str">
        <x:v>Solar</x:v>
      </x:c>
      <x:c r="C275" s="14" t="str">
        <x:v>operational</x:v>
      </x:c>
      <x:c r="D275" s="20" t="str">
        <x:v>Tamil Nadu N.A. Rooftop (Grid Connected) 1635.8</x:v>
      </x:c>
      <x:c r="E275" s="14" t="str">
        <x:v>Tamil Nadu</x:v>
      </x:c>
      <x:c r="F275" s="14" t="str">
        <x:v>N.A.</x:v>
      </x:c>
      <x:c r="G275" s="14" t="str">
        <x:v>Pudukkottai</x:v>
      </x:c>
      <x:c r="H275" s="14"/>
      <x:c r="I275" s="15" t="n">
        <x:v>1635.8</x:v>
      </x:c>
      <x:c r="J275" s="16" t="n">
        <x:v>0.006981850679159524</x:v>
      </x:c>
      <x:c r="K275" s="15" t="n">
        <x:f>I275*J275</x:f>
        <x:v>11.42091134096915</x:v>
      </x:c>
      <x:c r="L275" s="20"/>
      <x:c r="M275" s="20" t="str">
        <x:v>Proportional proxy using known Solar capacity by district in PlantInfo</x:v>
      </x:c>
      <x:c r="N275" s="20" t="str">
        <x:v>https://mnre.gov.in/en/physical-progress/</x:v>
      </x:c>
      <x:c r="O275" s="20" t="str">
        <x:v>Low</x:v>
      </x:c>
      <x:c r="P275" s="20" t="str">
        <x:v>This is a statewide/residual category, not a plant-level record. The allocation preserves the row total but is an analytical proxy, not an observed facility location.</x:v>
      </x:c>
    </x:row>
    <x:row r="276">
      <x:c r="A276" s="14" t="n">
        <x:v>185</x:v>
      </x:c>
      <x:c r="B276" s="14" t="str">
        <x:v>Solar</x:v>
      </x:c>
      <x:c r="C276" s="14" t="str">
        <x:v>operational</x:v>
      </x:c>
      <x:c r="D276" s="20" t="str">
        <x:v>Tamil Nadu N.A. Rooftop (Grid Connected) 1635.8</x:v>
      </x:c>
      <x:c r="E276" s="14" t="str">
        <x:v>Tamil Nadu</x:v>
      </x:c>
      <x:c r="F276" s="14" t="str">
        <x:v>N.A.</x:v>
      </x:c>
      <x:c r="G276" s="14" t="str">
        <x:v>Ramanathapuram</x:v>
      </x:c>
      <x:c r="H276" s="14"/>
      <x:c r="I276" s="15" t="n">
        <x:v>1635.8</x:v>
      </x:c>
      <x:c r="J276" s="16" t="n">
        <x:v>0.31173963282447276</x:v>
      </x:c>
      <x:c r="K276" s="15" t="n">
        <x:f>I276*J276</x:f>
        <x:v>509.94369137427253</x:v>
      </x:c>
      <x:c r="L276" s="20"/>
      <x:c r="M276" s="20" t="str">
        <x:v>Proportional proxy using known Solar capacity by district in PlantInfo</x:v>
      </x:c>
      <x:c r="N276" s="20" t="str">
        <x:v>https://mnre.gov.in/en/physical-progress/</x:v>
      </x:c>
      <x:c r="O276" s="20" t="str">
        <x:v>Low</x:v>
      </x:c>
      <x:c r="P276" s="20" t="str">
        <x:v>This is a statewide/residual category, not a plant-level record. The allocation preserves the row total but is an analytical proxy, not an observed facility location.</x:v>
      </x:c>
    </x:row>
    <x:row r="277">
      <x:c r="A277" s="14" t="n">
        <x:v>185</x:v>
      </x:c>
      <x:c r="B277" s="14" t="str">
        <x:v>Solar</x:v>
      </x:c>
      <x:c r="C277" s="14" t="str">
        <x:v>operational</x:v>
      </x:c>
      <x:c r="D277" s="20" t="str">
        <x:v>Tamil Nadu N.A. Rooftop (Grid Connected) 1635.8</x:v>
      </x:c>
      <x:c r="E277" s="14" t="str">
        <x:v>Tamil Nadu</x:v>
      </x:c>
      <x:c r="F277" s="14" t="str">
        <x:v>N.A.</x:v>
      </x:c>
      <x:c r="G277" s="14" t="str">
        <x:v>Sivaganga</x:v>
      </x:c>
      <x:c r="H277" s="14"/>
      <x:c r="I277" s="15" t="n">
        <x:v>1635.8</x:v>
      </x:c>
      <x:c r="J277" s="16" t="n">
        <x:v>0.0057774814370045065</x:v>
      </x:c>
      <x:c r="K277" s="15" t="n">
        <x:f>I277*J277</x:f>
        <x:v>9.450804134651971</x:v>
      </x:c>
      <x:c r="L277" s="20"/>
      <x:c r="M277" s="20" t="str">
        <x:v>Proportional proxy using known Solar capacity by district in PlantInfo</x:v>
      </x:c>
      <x:c r="N277" s="20" t="str">
        <x:v>https://mnre.gov.in/en/physical-progress/</x:v>
      </x:c>
      <x:c r="O277" s="20" t="str">
        <x:v>Low</x:v>
      </x:c>
      <x:c r="P277" s="20" t="str">
        <x:v>This is a statewide/residual category, not a plant-level record. The allocation preserves the row total but is an analytical proxy, not an observed facility location.</x:v>
      </x:c>
    </x:row>
    <x:row r="278">
      <x:c r="A278" s="14" t="n">
        <x:v>185</x:v>
      </x:c>
      <x:c r="B278" s="14" t="str">
        <x:v>Solar</x:v>
      </x:c>
      <x:c r="C278" s="14" t="str">
        <x:v>operational</x:v>
      </x:c>
      <x:c r="D278" s="20" t="str">
        <x:v>Tamil Nadu N.A. Rooftop (Grid Connected) 1635.8</x:v>
      </x:c>
      <x:c r="E278" s="14" t="str">
        <x:v>Tamil Nadu</x:v>
      </x:c>
      <x:c r="F278" s="14" t="str">
        <x:v>N.A.</x:v>
      </x:c>
      <x:c r="G278" s="14" t="str">
        <x:v>Thoothukudi</x:v>
      </x:c>
      <x:c r="H278" s="14"/>
      <x:c r="I278" s="15" t="n">
        <x:v>1635.8</x:v>
      </x:c>
      <x:c r="J278" s="16" t="n">
        <x:v>0.07959309774241857</x:v>
      </x:c>
      <x:c r="K278" s="15" t="n">
        <x:f>I278*J278</x:f>
        <x:v>130.1983892870483</x:v>
      </x:c>
      <x:c r="L278" s="20"/>
      <x:c r="M278" s="20" t="str">
        <x:v>Proportional proxy using known Solar capacity by district in PlantInfo</x:v>
      </x:c>
      <x:c r="N278" s="20" t="str">
        <x:v>https://mnre.gov.in/en/physical-progress/</x:v>
      </x:c>
      <x:c r="O278" s="20" t="str">
        <x:v>Low</x:v>
      </x:c>
      <x:c r="P278" s="20" t="str">
        <x:v>This is a statewide/residual category, not a plant-level record. The allocation preserves the row total but is an analytical proxy, not an observed facility location.</x:v>
      </x:c>
    </x:row>
    <x:row r="279">
      <x:c r="A279" s="14" t="n">
        <x:v>185</x:v>
      </x:c>
      <x:c r="B279" s="14" t="str">
        <x:v>Solar</x:v>
      </x:c>
      <x:c r="C279" s="14" t="str">
        <x:v>operational</x:v>
      </x:c>
      <x:c r="D279" s="20" t="str">
        <x:v>Tamil Nadu N.A. Rooftop (Grid Connected) 1635.8</x:v>
      </x:c>
      <x:c r="E279" s="14" t="str">
        <x:v>Tamil Nadu</x:v>
      </x:c>
      <x:c r="F279" s="14" t="str">
        <x:v>N.A.</x:v>
      </x:c>
      <x:c r="G279" s="14" t="str">
        <x:v>Tiruchirappalli</x:v>
      </x:c>
      <x:c r="H279" s="14"/>
      <x:c r="I279" s="15" t="n">
        <x:v>1635.8</x:v>
      </x:c>
      <x:c r="J279" s="16" t="n">
        <x:v>0.05899663823889798</x:v>
      </x:c>
      <x:c r="K279" s="15" t="n">
        <x:f>I279*J279</x:f>
        <x:v>96.50670083118932</x:v>
      </x:c>
      <x:c r="L279" s="20"/>
      <x:c r="M279" s="20" t="str">
        <x:v>Proportional proxy using known Solar capacity by district in PlantInfo</x:v>
      </x:c>
      <x:c r="N279" s="20" t="str">
        <x:v>https://mnre.gov.in/en/physical-progress/</x:v>
      </x:c>
      <x:c r="O279" s="20" t="str">
        <x:v>Low</x:v>
      </x:c>
      <x:c r="P279" s="20" t="str">
        <x:v>This is a statewide/residual category, not a plant-level record. The allocation preserves the row total but is an analytical proxy, not an observed facility location.</x:v>
      </x:c>
    </x:row>
    <x:row r="280">
      <x:c r="A280" s="14" t="n">
        <x:v>185</x:v>
      </x:c>
      <x:c r="B280" s="14" t="str">
        <x:v>Solar</x:v>
      </x:c>
      <x:c r="C280" s="14" t="str">
        <x:v>operational</x:v>
      </x:c>
      <x:c r="D280" s="20" t="str">
        <x:v>Tamil Nadu N.A. Rooftop (Grid Connected) 1635.8</x:v>
      </x:c>
      <x:c r="E280" s="14" t="str">
        <x:v>Tamil Nadu</x:v>
      </x:c>
      <x:c r="F280" s="14" t="str">
        <x:v>N.A.</x:v>
      </x:c>
      <x:c r="G280" s="14" t="str">
        <x:v>Tirunelveli</x:v>
      </x:c>
      <x:c r="H280" s="14"/>
      <x:c r="I280" s="15" t="n">
        <x:v>1635.8</x:v>
      </x:c>
      <x:c r="J280" s="16" t="n">
        <x:v>0.10799526630523953</x:v>
      </x:c>
      <x:c r="K280" s="15" t="n">
        <x:f>I280*J280</x:f>
        <x:v>176.65865662211084</x:v>
      </x:c>
      <x:c r="L280" s="20"/>
      <x:c r="M280" s="20" t="str">
        <x:v>Proportional proxy using known Solar capacity by district in PlantInfo</x:v>
      </x:c>
      <x:c r="N280" s="20" t="str">
        <x:v>https://mnre.gov.in/en/physical-progress/</x:v>
      </x:c>
      <x:c r="O280" s="20" t="str">
        <x:v>Low</x:v>
      </x:c>
      <x:c r="P280" s="20" t="str">
        <x:v>This is a statewide/residual category, not a plant-level record. The allocation preserves the row total but is an analytical proxy, not an observed facility location.</x:v>
      </x:c>
    </x:row>
    <x:row r="281">
      <x:c r="A281" s="14" t="n">
        <x:v>185</x:v>
      </x:c>
      <x:c r="B281" s="14" t="str">
        <x:v>Solar</x:v>
      </x:c>
      <x:c r="C281" s="14" t="str">
        <x:v>operational</x:v>
      </x:c>
      <x:c r="D281" s="20" t="str">
        <x:v>Tamil Nadu N.A. Rooftop (Grid Connected) 1635.8</x:v>
      </x:c>
      <x:c r="E281" s="14" t="str">
        <x:v>Tamil Nadu</x:v>
      </x:c>
      <x:c r="F281" s="14" t="str">
        <x:v>N.A.</x:v>
      </x:c>
      <x:c r="G281" s="14" t="str">
        <x:v>Tiruppur</x:v>
      </x:c>
      <x:c r="H281" s="14"/>
      <x:c r="I281" s="15" t="n">
        <x:v>1635.8</x:v>
      </x:c>
      <x:c r="J281" s="16" t="n">
        <x:v>0.017210261924128226</x:v>
      </x:c>
      <x:c r="K281" s="15" t="n">
        <x:f>I281*J281</x:f>
        <x:v>28.152546455488952</x:v>
      </x:c>
      <x:c r="L281" s="20"/>
      <x:c r="M281" s="20" t="str">
        <x:v>Proportional proxy using known Solar capacity by district in PlantInfo</x:v>
      </x:c>
      <x:c r="N281" s="20" t="str">
        <x:v>https://mnre.gov.in/en/physical-progress/</x:v>
      </x:c>
      <x:c r="O281" s="20" t="str">
        <x:v>Low</x:v>
      </x:c>
      <x:c r="P281" s="20" t="str">
        <x:v>This is a statewide/residual category, not a plant-level record. The allocation preserves the row total but is an analytical proxy, not an observed facility location.</x:v>
      </x:c>
    </x:row>
    <x:row r="282">
      <x:c r="A282" s="14" t="n">
        <x:v>185</x:v>
      </x:c>
      <x:c r="B282" s="14" t="str">
        <x:v>Solar</x:v>
      </x:c>
      <x:c r="C282" s="14" t="str">
        <x:v>operational</x:v>
      </x:c>
      <x:c r="D282" s="20" t="str">
        <x:v>Tamil Nadu N.A. Rooftop (Grid Connected) 1635.8</x:v>
      </x:c>
      <x:c r="E282" s="14" t="str">
        <x:v>Tamil Nadu</x:v>
      </x:c>
      <x:c r="F282" s="14" t="str">
        <x:v>N.A.</x:v>
      </x:c>
      <x:c r="G282" s="14" t="str">
        <x:v>Tiruvannamalai</x:v>
      </x:c>
      <x:c r="H282" s="14"/>
      <x:c r="I282" s="15" t="n">
        <x:v>1635.8</x:v>
      </x:c>
      <x:c r="J282" s="16" t="n">
        <x:v>0.010821868552697263</x:v>
      </x:c>
      <x:c r="K282" s="15" t="n">
        <x:f>I282*J282</x:f>
        <x:v>17.702412578502184</x:v>
      </x:c>
      <x:c r="L282" s="20"/>
      <x:c r="M282" s="20" t="str">
        <x:v>Proportional proxy using known Solar capacity by district in PlantInfo</x:v>
      </x:c>
      <x:c r="N282" s="20" t="str">
        <x:v>https://mnre.gov.in/en/physical-progress/</x:v>
      </x:c>
      <x:c r="O282" s="20" t="str">
        <x:v>Low</x:v>
      </x:c>
      <x:c r="P282" s="20" t="str">
        <x:v>This is a statewide/residual category, not a plant-level record. The allocation preserves the row total but is an analytical proxy, not an observed facility location.</x:v>
      </x:c>
    </x:row>
    <x:row r="283">
      <x:c r="A283" s="14" t="n">
        <x:v>185</x:v>
      </x:c>
      <x:c r="B283" s="14" t="str">
        <x:v>Solar</x:v>
      </x:c>
      <x:c r="C283" s="14" t="str">
        <x:v>operational</x:v>
      </x:c>
      <x:c r="D283" s="20" t="str">
        <x:v>Tamil Nadu N.A. Rooftop (Grid Connected) 1635.8</x:v>
      </x:c>
      <x:c r="E283" s="14" t="str">
        <x:v>Tamil Nadu</x:v>
      </x:c>
      <x:c r="F283" s="14" t="str">
        <x:v>N.A.</x:v>
      </x:c>
      <x:c r="G283" s="14" t="str">
        <x:v>Vellore</x:v>
      </x:c>
      <x:c r="H283" s="14"/>
      <x:c r="I283" s="15" t="n">
        <x:v>1635.8</x:v>
      </x:c>
      <x:c r="J283" s="16" t="n">
        <x:v>0.001745462669789881</x:v>
      </x:c>
      <x:c r="K283" s="15" t="n">
        <x:f>I283*J283</x:f>
        <x:v>2.8552278352422875</x:v>
      </x:c>
      <x:c r="L283" s="20"/>
      <x:c r="M283" s="20" t="str">
        <x:v>Proportional proxy using known Solar capacity by district in PlantInfo</x:v>
      </x:c>
      <x:c r="N283" s="20" t="str">
        <x:v>https://mnre.gov.in/en/physical-progress/</x:v>
      </x:c>
      <x:c r="O283" s="20" t="str">
        <x:v>Low</x:v>
      </x:c>
      <x:c r="P283" s="20" t="str">
        <x:v>This is a statewide/residual category, not a plant-level record. The allocation preserves the row total but is an analytical proxy, not an observed facility location.</x:v>
      </x:c>
    </x:row>
    <x:row r="284">
      <x:c r="A284" s="14" t="n">
        <x:v>185</x:v>
      </x:c>
      <x:c r="B284" s="14" t="str">
        <x:v>Solar</x:v>
      </x:c>
      <x:c r="C284" s="14" t="str">
        <x:v>operational</x:v>
      </x:c>
      <x:c r="D284" s="20" t="str">
        <x:v>Tamil Nadu N.A. Rooftop (Grid Connected) 1635.8</x:v>
      </x:c>
      <x:c r="E284" s="14" t="str">
        <x:v>Tamil Nadu</x:v>
      </x:c>
      <x:c r="F284" s="14" t="str">
        <x:v>N.A.</x:v>
      </x:c>
      <x:c r="G284" s="14" t="str">
        <x:v>Virudhunagar</x:v>
      </x:c>
      <x:c r="H284" s="14"/>
      <x:c r="I284" s="15" t="n">
        <x:v>1635.8</x:v>
      </x:c>
      <x:c r="J284" s="16" t="n">
        <x:v>0.2392680227747969</x:v>
      </x:c>
      <x:c r="K284" s="15" t="n">
        <x:f>I284*J284</x:f>
        <x:v>391.39463165501274</x:v>
      </x:c>
      <x:c r="L284" s="20"/>
      <x:c r="M284" s="20" t="str">
        <x:v>Proportional proxy using known Solar capacity by district in PlantInfo</x:v>
      </x:c>
      <x:c r="N284" s="20" t="str">
        <x:v>https://mnre.gov.in/en/physical-progress/</x:v>
      </x:c>
      <x:c r="O284" s="20" t="str">
        <x:v>Low</x:v>
      </x:c>
      <x:c r="P284" s="20" t="str">
        <x:v>This is a statewide/residual category, not a plant-level record. The allocation preserves the row total but is an analytical proxy, not an observed facility location.</x:v>
      </x:c>
    </x:row>
    <x:row r="285">
      <x:c r="A285" s="14" t="n">
        <x:v>186</x:v>
      </x:c>
      <x:c r="B285" s="14" t="str">
        <x:v>Solar</x:v>
      </x:c>
      <x:c r="C285" s="14" t="str">
        <x:v>operational</x:v>
      </x:c>
      <x:c r="D285" s="20" t="str">
        <x:v>Tamil Nadu Nagapattinam  5</x:v>
      </x:c>
      <x:c r="E285" s="14" t="str">
        <x:v>Tamil Nadu</x:v>
      </x:c>
      <x:c r="F285" s="14" t="str">
        <x:v>Nagapattinam</x:v>
      </x:c>
      <x:c r="G285" s="14" t="str">
        <x:v>Nagapattinam</x:v>
      </x:c>
      <x:c r="H285" s="14"/>
      <x:c r="I285" s="15" t="n">
        <x:v>5</x:v>
      </x:c>
      <x:c r="J285" s="16" t="n">
        <x:v>1</x:v>
      </x:c>
      <x:c r="K285" s="15" t="n">
        <x:f>I285*J285</x:f>
        <x:v>5</x:v>
      </x:c>
      <x:c r="L285" s="20"/>
      <x:c r="M285" s="20" t="str">
        <x:v>District carried from original workbook</x:v>
      </x:c>
      <x:c r="N285" s="20" t="str"/>
      <x:c r="O285" s="20" t="str">
        <x:v>Existing</x:v>
      </x:c>
      <x:c r="P285" s="20" t="str">
        <x:v>No online correction applied because a single district was already provided.</x:v>
      </x:c>
    </x:row>
    <x:row r="286">
      <x:c r="A286" s="14" t="n">
        <x:v>187</x:v>
      </x:c>
      <x:c r="B286" s="14" t="str">
        <x:v>Solar</x:v>
      </x:c>
      <x:c r="C286" s="14" t="str">
        <x:v>operational</x:v>
      </x:c>
      <x:c r="D286" s="20" t="str">
        <x:v>Tamil Nadu Perambalur 10</x:v>
      </x:c>
      <x:c r="E286" s="14" t="str">
        <x:v>Tamil Nadu</x:v>
      </x:c>
      <x:c r="F286" s="14" t="str">
        <x:v>Perambalur</x:v>
      </x:c>
      <x:c r="G286" s="14" t="str">
        <x:v>Perambalur</x:v>
      </x:c>
      <x:c r="H286" s="14"/>
      <x:c r="I286" s="15" t="n">
        <x:v>10</x:v>
      </x:c>
      <x:c r="J286" s="16" t="n">
        <x:v>1</x:v>
      </x:c>
      <x:c r="K286" s="15" t="n">
        <x:f>I286*J286</x:f>
        <x:v>10</x:v>
      </x:c>
      <x:c r="L286" s="20"/>
      <x:c r="M286" s="20" t="str">
        <x:v>District carried from original workbook</x:v>
      </x:c>
      <x:c r="N286" s="20" t="str"/>
      <x:c r="O286" s="20" t="str">
        <x:v>Existing</x:v>
      </x:c>
      <x:c r="P286" s="20" t="str">
        <x:v>No online correction applied because a single district was already provided.</x:v>
      </x:c>
    </x:row>
    <x:row r="287">
      <x:c r="A287" s="14" t="n">
        <x:v>188</x:v>
      </x:c>
      <x:c r="B287" s="14" t="str">
        <x:v>Solar</x:v>
      </x:c>
      <x:c r="C287" s="14" t="str">
        <x:v>operational</x:v>
      </x:c>
      <x:c r="D287" s="20" t="str">
        <x:v>Tamil Nadu Pudukkottai 20</x:v>
      </x:c>
      <x:c r="E287" s="14" t="str">
        <x:v>Tamil Nadu</x:v>
      </x:c>
      <x:c r="F287" s="14" t="str">
        <x:v>Pudukkottai</x:v>
      </x:c>
      <x:c r="G287" s="14" t="str">
        <x:v>Pudukkottai</x:v>
      </x:c>
      <x:c r="H287" s="14"/>
      <x:c r="I287" s="15" t="n">
        <x:v>20</x:v>
      </x:c>
      <x:c r="J287" s="16" t="n">
        <x:v>1</x:v>
      </x:c>
      <x:c r="K287" s="15" t="n">
        <x:f>I287*J287</x:f>
        <x:v>20</x:v>
      </x:c>
      <x:c r="L287" s="20"/>
      <x:c r="M287" s="20" t="str">
        <x:v>District carried from original workbook</x:v>
      </x:c>
      <x:c r="N287" s="20" t="str"/>
      <x:c r="O287" s="20" t="str">
        <x:v>Existing</x:v>
      </x:c>
      <x:c r="P287" s="20" t="str">
        <x:v>No online correction applied because a single district was already provided.</x:v>
      </x:c>
    </x:row>
    <x:row r="288">
      <x:c r="A288" s="14" t="n">
        <x:v>189</x:v>
      </x:c>
      <x:c r="B288" s="14" t="str">
        <x:v>Solar</x:v>
      </x:c>
      <x:c r="C288" s="14" t="str">
        <x:v>operational</x:v>
      </x:c>
      <x:c r="D288" s="20" t="str">
        <x:v>Tamil Nadu Ramanathapuram 245</x:v>
      </x:c>
      <x:c r="E288" s="14" t="str">
        <x:v>Tamil Nadu</x:v>
      </x:c>
      <x:c r="F288" s="14" t="str">
        <x:v>Ramanathapuram</x:v>
      </x:c>
      <x:c r="G288" s="14" t="str">
        <x:v>Ramanathapuram</x:v>
      </x:c>
      <x:c r="H288" s="14"/>
      <x:c r="I288" s="15" t="n">
        <x:v>245</x:v>
      </x:c>
      <x:c r="J288" s="16" t="n">
        <x:v>1</x:v>
      </x:c>
      <x:c r="K288" s="15" t="n">
        <x:f>I288*J288</x:f>
        <x:v>245</x:v>
      </x:c>
      <x:c r="L288" s="20"/>
      <x:c r="M288" s="20" t="str">
        <x:v>District carried from original workbook</x:v>
      </x:c>
      <x:c r="N288" s="20" t="str"/>
      <x:c r="O288" s="20" t="str">
        <x:v>Existing</x:v>
      </x:c>
      <x:c r="P288" s="20" t="str">
        <x:v>No online correction applied because a single district was already provided.</x:v>
      </x:c>
    </x:row>
    <x:row r="289">
      <x:c r="A289" s="14" t="n">
        <x:v>190</x:v>
      </x:c>
      <x:c r="B289" s="14" t="str">
        <x:v>Solar</x:v>
      </x:c>
      <x:c r="C289" s="14" t="str">
        <x:v>operational</x:v>
      </x:c>
      <x:c r="D289" s="20" t="str">
        <x:v>Tamil Nadu Ramanathapuram Kamuthi Solar Power Project 648</x:v>
      </x:c>
      <x:c r="E289" s="14" t="str">
        <x:v>Tamil Nadu</x:v>
      </x:c>
      <x:c r="F289" s="14" t="str">
        <x:v>Ramanathapuram</x:v>
      </x:c>
      <x:c r="G289" s="14" t="str">
        <x:v>Ramanathapuram</x:v>
      </x:c>
      <x:c r="H289" s="14"/>
      <x:c r="I289" s="15" t="n">
        <x:v>648</x:v>
      </x:c>
      <x:c r="J289" s="16" t="n">
        <x:v>1</x:v>
      </x:c>
      <x:c r="K289" s="15" t="n">
        <x:f>I289*J289</x:f>
        <x:v>648</x:v>
      </x:c>
      <x:c r="L289" s="20"/>
      <x:c r="M289" s="20" t="str">
        <x:v>District carried from original workbook</x:v>
      </x:c>
      <x:c r="N289" s="20" t="str"/>
      <x:c r="O289" s="20" t="str">
        <x:v>Existing</x:v>
      </x:c>
      <x:c r="P289" s="20" t="str">
        <x:v>No online correction applied because a single district was already provided.</x:v>
      </x:c>
    </x:row>
    <x:row r="290">
      <x:c r="A290" s="14" t="n">
        <x:v>191</x:v>
      </x:c>
      <x:c r="B290" s="14" t="str">
        <x:v>Solar</x:v>
      </x:c>
      <x:c r="C290" s="14" t="str">
        <x:v>operational</x:v>
      </x:c>
      <x:c r="D290" s="20" t="str">
        <x:v>Tamil Nadu Sivaganga 16.55</x:v>
      </x:c>
      <x:c r="E290" s="14" t="str">
        <x:v>Tamil Nadu</x:v>
      </x:c>
      <x:c r="F290" s="14" t="str">
        <x:v>Sivaganga</x:v>
      </x:c>
      <x:c r="G290" s="14" t="str">
        <x:v>Sivaganga</x:v>
      </x:c>
      <x:c r="H290" s="14"/>
      <x:c r="I290" s="15" t="n">
        <x:v>16.55</x:v>
      </x:c>
      <x:c r="J290" s="16" t="n">
        <x:v>1</x:v>
      </x:c>
      <x:c r="K290" s="15" t="n">
        <x:f>I290*J290</x:f>
        <x:v>16.55</x:v>
      </x:c>
      <x:c r="L290" s="20"/>
      <x:c r="M290" s="20" t="str">
        <x:v>District carried from original workbook</x:v>
      </x:c>
      <x:c r="N290" s="20" t="str"/>
      <x:c r="O290" s="20" t="str">
        <x:v>Existing</x:v>
      </x:c>
      <x:c r="P290" s="20" t="str">
        <x:v>No online correction applied because a single district was already provided.</x:v>
      </x:c>
    </x:row>
    <x:row r="291">
      <x:c r="A291" s="14" t="n">
        <x:v>192</x:v>
      </x:c>
      <x:c r="B291" s="14" t="str">
        <x:v>Solar</x:v>
      </x:c>
      <x:c r="C291" s="14" t="str">
        <x:v>operational</x:v>
      </x:c>
      <x:c r="D291" s="20" t="str">
        <x:v>Tamil Nadu Thoothukkudi 28</x:v>
      </x:c>
      <x:c r="E291" s="14" t="str">
        <x:v>Tamil Nadu</x:v>
      </x:c>
      <x:c r="F291" s="14" t="str">
        <x:v>Thoothukkudi</x:v>
      </x:c>
      <x:c r="G291" s="14" t="str">
        <x:v>Thoothukudi</x:v>
      </x:c>
      <x:c r="H291" s="14"/>
      <x:c r="I291" s="15" t="n">
        <x:v>28</x:v>
      </x:c>
      <x:c r="J291" s="16" t="n">
        <x:v>1</x:v>
      </x:c>
      <x:c r="K291" s="15" t="n">
        <x:f>I291*J291</x:f>
        <x:v>28</x:v>
      </x:c>
      <x:c r="L291" s="20"/>
      <x:c r="M291" s="20" t="str">
        <x:v>District carried from original workbook</x:v>
      </x:c>
      <x:c r="N291" s="20" t="str"/>
      <x:c r="O291" s="20" t="str">
        <x:v>Existing</x:v>
      </x:c>
      <x:c r="P291" s="20" t="str">
        <x:v>No online correction applied because a single district was already provided.</x:v>
      </x:c>
    </x:row>
    <x:row r="292">
      <x:c r="A292" s="14" t="n">
        <x:v>193</x:v>
      </x:c>
      <x:c r="B292" s="14" t="str">
        <x:v>Solar</x:v>
      </x:c>
      <x:c r="C292" s="14" t="str">
        <x:v>operational</x:v>
      </x:c>
      <x:c r="D292" s="20" t="str">
        <x:v>Tamil Nadu Tiruchirappalli 169</x:v>
      </x:c>
      <x:c r="E292" s="14" t="str">
        <x:v>Tamil Nadu</x:v>
      </x:c>
      <x:c r="F292" s="14" t="str">
        <x:v>Tiruchirappalli</x:v>
      </x:c>
      <x:c r="G292" s="14" t="str">
        <x:v>Tiruchirappalli</x:v>
      </x:c>
      <x:c r="H292" s="14"/>
      <x:c r="I292" s="15" t="n">
        <x:v>169</x:v>
      </x:c>
      <x:c r="J292" s="16" t="n">
        <x:v>1</x:v>
      </x:c>
      <x:c r="K292" s="15" t="n">
        <x:f>I292*J292</x:f>
        <x:v>169</x:v>
      </x:c>
      <x:c r="L292" s="20"/>
      <x:c r="M292" s="20" t="str">
        <x:v>District carried from original workbook</x:v>
      </x:c>
      <x:c r="N292" s="20" t="str"/>
      <x:c r="O292" s="20" t="str">
        <x:v>Existing</x:v>
      </x:c>
      <x:c r="P292" s="20" t="str">
        <x:v>No online correction applied because a single district was already provided.</x:v>
      </x:c>
    </x:row>
    <x:row r="293">
      <x:c r="A293" s="14" t="n">
        <x:v>194</x:v>
      </x:c>
      <x:c r="B293" s="14" t="str">
        <x:v>Solar</x:v>
      </x:c>
      <x:c r="C293" s="14" t="str">
        <x:v>operational</x:v>
      </x:c>
      <x:c r="D293" s="20" t="str">
        <x:v>Tamil Nadu Tirunelveli  309.36</x:v>
      </x:c>
      <x:c r="E293" s="14" t="str">
        <x:v>Tamil Nadu</x:v>
      </x:c>
      <x:c r="F293" s="14" t="str">
        <x:v>Tirunelveli</x:v>
      </x:c>
      <x:c r="G293" s="14" t="str">
        <x:v>Tirunelveli</x:v>
      </x:c>
      <x:c r="H293" s="14"/>
      <x:c r="I293" s="15" t="n">
        <x:v>309.36</x:v>
      </x:c>
      <x:c r="J293" s="16" t="n">
        <x:v>1</x:v>
      </x:c>
      <x:c r="K293" s="15" t="n">
        <x:f>I293*J293</x:f>
        <x:v>309.36</x:v>
      </x:c>
      <x:c r="L293" s="20"/>
      <x:c r="M293" s="20" t="str">
        <x:v>District carried from original workbook</x:v>
      </x:c>
      <x:c r="N293" s="20" t="str"/>
      <x:c r="O293" s="20" t="str">
        <x:v>Existing</x:v>
      </x:c>
      <x:c r="P293" s="20" t="str">
        <x:v>No online correction applied because a single district was already provided.</x:v>
      </x:c>
    </x:row>
    <x:row r="294">
      <x:c r="A294" s="14" t="n">
        <x:v>195</x:v>
      </x:c>
      <x:c r="B294" s="14" t="str">
        <x:v>Solar</x:v>
      </x:c>
      <x:c r="C294" s="14" t="str">
        <x:v>operational</x:v>
      </x:c>
      <x:c r="D294" s="20" t="str">
        <x:v>Tamil Nadu Tirunelveli, Tuticorin, Virudhunagar and Ramanathapuram 351</x:v>
      </x:c>
      <x:c r="E294" s="14" t="str">
        <x:v>Tamil Nadu</x:v>
      </x:c>
      <x:c r="F294" s="14" t="str">
        <x:v>Tirunelveli, Tuticorin, Virudhunagar and Ramanathapuram</x:v>
      </x:c>
      <x:c r="G294" s="14" t="str">
        <x:v>Tirunelveli</x:v>
      </x:c>
      <x:c r="H294" s="14"/>
      <x:c r="I294" s="15" t="n">
        <x:v>351</x:v>
      </x:c>
      <x:c r="J294" s="16" t="n">
        <x:v>0.25</x:v>
      </x:c>
      <x:c r="K294" s="15" t="n">
        <x:f>I294*J294</x:f>
        <x:v>87.75</x:v>
      </x:c>
      <x:c r="L294" s="20"/>
      <x:c r="M294" s="20" t="str">
        <x:v>Equal split across districts named in the original row</x:v>
      </x:c>
      <x:c r="N294" s="20" t="str"/>
      <x:c r="O294" s="20" t="str">
        <x:v>Medium</x:v>
      </x:c>
      <x:c r="P294" s="20" t="str">
        <x:v>The source row identifies four districts but does not give district-specific shares.</x:v>
      </x:c>
    </x:row>
    <x:row r="295">
      <x:c r="A295" s="14" t="n">
        <x:v>195</x:v>
      </x:c>
      <x:c r="B295" s="14" t="str">
        <x:v>Solar</x:v>
      </x:c>
      <x:c r="C295" s="14" t="str">
        <x:v>operational</x:v>
      </x:c>
      <x:c r="D295" s="20" t="str">
        <x:v>Tamil Nadu Tirunelveli, Tuticorin, Virudhunagar and Ramanathapuram 351</x:v>
      </x:c>
      <x:c r="E295" s="14" t="str">
        <x:v>Tamil Nadu</x:v>
      </x:c>
      <x:c r="F295" s="14" t="str">
        <x:v>Tirunelveli, Tuticorin, Virudhunagar and Ramanathapuram</x:v>
      </x:c>
      <x:c r="G295" s="14" t="str">
        <x:v>Thoothukudi</x:v>
      </x:c>
      <x:c r="H295" s="14"/>
      <x:c r="I295" s="15" t="n">
        <x:v>351</x:v>
      </x:c>
      <x:c r="J295" s="16" t="n">
        <x:v>0.25</x:v>
      </x:c>
      <x:c r="K295" s="15" t="n">
        <x:f>I295*J295</x:f>
        <x:v>87.75</x:v>
      </x:c>
      <x:c r="L295" s="20"/>
      <x:c r="M295" s="20" t="str">
        <x:v>Equal split across districts named in the original row</x:v>
      </x:c>
      <x:c r="N295" s="20" t="str"/>
      <x:c r="O295" s="20" t="str">
        <x:v>Medium</x:v>
      </x:c>
      <x:c r="P295" s="20" t="str">
        <x:v>The source row identifies four districts but does not give district-specific shares.</x:v>
      </x:c>
    </x:row>
    <x:row r="296">
      <x:c r="A296" s="14" t="n">
        <x:v>195</x:v>
      </x:c>
      <x:c r="B296" s="14" t="str">
        <x:v>Solar</x:v>
      </x:c>
      <x:c r="C296" s="14" t="str">
        <x:v>operational</x:v>
      </x:c>
      <x:c r="D296" s="20" t="str">
        <x:v>Tamil Nadu Tirunelveli, Tuticorin, Virudhunagar and Ramanathapuram 351</x:v>
      </x:c>
      <x:c r="E296" s="14" t="str">
        <x:v>Tamil Nadu</x:v>
      </x:c>
      <x:c r="F296" s="14" t="str">
        <x:v>Tirunelveli, Tuticorin, Virudhunagar and Ramanathapuram</x:v>
      </x:c>
      <x:c r="G296" s="14" t="str">
        <x:v>Virudhunagar</x:v>
      </x:c>
      <x:c r="H296" s="14"/>
      <x:c r="I296" s="15" t="n">
        <x:v>351</x:v>
      </x:c>
      <x:c r="J296" s="16" t="n">
        <x:v>0.25</x:v>
      </x:c>
      <x:c r="K296" s="15" t="n">
        <x:f>I296*J296</x:f>
        <x:v>87.75</x:v>
      </x:c>
      <x:c r="L296" s="20"/>
      <x:c r="M296" s="20" t="str">
        <x:v>Equal split across districts named in the original row</x:v>
      </x:c>
      <x:c r="N296" s="20" t="str"/>
      <x:c r="O296" s="20" t="str">
        <x:v>Medium</x:v>
      </x:c>
      <x:c r="P296" s="20" t="str">
        <x:v>The source row identifies four districts but does not give district-specific shares.</x:v>
      </x:c>
    </x:row>
    <x:row r="297">
      <x:c r="A297" s="14" t="n">
        <x:v>195</x:v>
      </x:c>
      <x:c r="B297" s="14" t="str">
        <x:v>Solar</x:v>
      </x:c>
      <x:c r="C297" s="14" t="str">
        <x:v>operational</x:v>
      </x:c>
      <x:c r="D297" s="20" t="str">
        <x:v>Tamil Nadu Tirunelveli, Tuticorin, Virudhunagar and Ramanathapuram 351</x:v>
      </x:c>
      <x:c r="E297" s="14" t="str">
        <x:v>Tamil Nadu</x:v>
      </x:c>
      <x:c r="F297" s="14" t="str">
        <x:v>Tirunelveli, Tuticorin, Virudhunagar and Ramanathapuram</x:v>
      </x:c>
      <x:c r="G297" s="14" t="str">
        <x:v>Ramanathapuram</x:v>
      </x:c>
      <x:c r="H297" s="14"/>
      <x:c r="I297" s="15" t="n">
        <x:v>351</x:v>
      </x:c>
      <x:c r="J297" s="16" t="n">
        <x:v>0.25</x:v>
      </x:c>
      <x:c r="K297" s="15" t="n">
        <x:f>I297*J297</x:f>
        <x:v>87.75</x:v>
      </x:c>
      <x:c r="L297" s="20"/>
      <x:c r="M297" s="20" t="str">
        <x:v>Equal split across districts named in the original row</x:v>
      </x:c>
      <x:c r="N297" s="20" t="str"/>
      <x:c r="O297" s="20" t="str">
        <x:v>Medium</x:v>
      </x:c>
      <x:c r="P297" s="20" t="str">
        <x:v>The source row identifies four districts but does not give district-specific shares.</x:v>
      </x:c>
    </x:row>
    <x:row r="298">
      <x:c r="A298" s="14" t="n">
        <x:v>196</x:v>
      </x:c>
      <x:c r="B298" s="14" t="str">
        <x:v>Solar</x:v>
      </x:c>
      <x:c r="C298" s="14" t="str">
        <x:v>operational</x:v>
      </x:c>
      <x:c r="D298" s="20" t="str">
        <x:v>Tamil Nadu Tiruppur 49.3</x:v>
      </x:c>
      <x:c r="E298" s="14" t="str">
        <x:v>Tamil Nadu</x:v>
      </x:c>
      <x:c r="F298" s="14" t="str">
        <x:v>Tiruppur</x:v>
      </x:c>
      <x:c r="G298" s="14" t="str">
        <x:v>Tiruppur</x:v>
      </x:c>
      <x:c r="H298" s="14"/>
      <x:c r="I298" s="15" t="n">
        <x:v>49.3</x:v>
      </x:c>
      <x:c r="J298" s="16" t="n">
        <x:v>1</x:v>
      </x:c>
      <x:c r="K298" s="15" t="n">
        <x:f>I298*J298</x:f>
        <x:v>49.3</x:v>
      </x:c>
      <x:c r="L298" s="20"/>
      <x:c r="M298" s="20" t="str">
        <x:v>District carried from original workbook</x:v>
      </x:c>
      <x:c r="N298" s="20" t="str"/>
      <x:c r="O298" s="20" t="str">
        <x:v>Existing</x:v>
      </x:c>
      <x:c r="P298" s="20" t="str">
        <x:v>No online correction applied because a single district was already provided.</x:v>
      </x:c>
    </x:row>
    <x:row r="299">
      <x:c r="A299" s="14" t="n">
        <x:v>197</x:v>
      </x:c>
      <x:c r="B299" s="14" t="str">
        <x:v>Solar</x:v>
      </x:c>
      <x:c r="C299" s="14" t="str">
        <x:v>operational</x:v>
      </x:c>
      <x:c r="D299" s="20" t="str">
        <x:v>Tamil Nadu Tiruvannamalai 31</x:v>
      </x:c>
      <x:c r="E299" s="14" t="str">
        <x:v>Tamil Nadu</x:v>
      </x:c>
      <x:c r="F299" s="14" t="str">
        <x:v>Tiruvannamalai</x:v>
      </x:c>
      <x:c r="G299" s="14" t="str">
        <x:v>Tiruvannamalai</x:v>
      </x:c>
      <x:c r="H299" s="14"/>
      <x:c r="I299" s="15" t="n">
        <x:v>31</x:v>
      </x:c>
      <x:c r="J299" s="16" t="n">
        <x:v>1</x:v>
      </x:c>
      <x:c r="K299" s="15" t="n">
        <x:f>I299*J299</x:f>
        <x:v>31</x:v>
      </x:c>
      <x:c r="L299" s="20"/>
      <x:c r="M299" s="20" t="str">
        <x:v>District carried from original workbook</x:v>
      </x:c>
      <x:c r="N299" s="20" t="str"/>
      <x:c r="O299" s="20" t="str">
        <x:v>Existing</x:v>
      </x:c>
      <x:c r="P299" s="20" t="str">
        <x:v>No online correction applied because a single district was already provided.</x:v>
      </x:c>
    </x:row>
    <x:row r="300">
      <x:c r="A300" s="14" t="n">
        <x:v>198</x:v>
      </x:c>
      <x:c r="B300" s="14" t="str">
        <x:v>Solar</x:v>
      </x:c>
      <x:c r="C300" s="14" t="str">
        <x:v>operational</x:v>
      </x:c>
      <x:c r="D300" s="20" t="str">
        <x:v>Tamil Nadu Vellore  5</x:v>
      </x:c>
      <x:c r="E300" s="14" t="str">
        <x:v>Tamil Nadu</x:v>
      </x:c>
      <x:c r="F300" s="14" t="str">
        <x:v>Vellore</x:v>
      </x:c>
      <x:c r="G300" s="14" t="str">
        <x:v>Vellore</x:v>
      </x:c>
      <x:c r="H300" s="14"/>
      <x:c r="I300" s="15" t="n">
        <x:v>5</x:v>
      </x:c>
      <x:c r="J300" s="16" t="n">
        <x:v>1</x:v>
      </x:c>
      <x:c r="K300" s="15" t="n">
        <x:f>I300*J300</x:f>
        <x:v>5</x:v>
      </x:c>
      <x:c r="L300" s="20"/>
      <x:c r="M300" s="20" t="str">
        <x:v>District carried from original workbook</x:v>
      </x:c>
      <x:c r="N300" s="20" t="str"/>
      <x:c r="O300" s="20" t="str">
        <x:v>Existing</x:v>
      </x:c>
      <x:c r="P300" s="20" t="str">
        <x:v>No online correction applied because a single district was already provided.</x:v>
      </x:c>
    </x:row>
    <x:row r="301">
      <x:c r="A301" s="14" t="n">
        <x:v>199</x:v>
      </x:c>
      <x:c r="B301" s="14" t="str">
        <x:v>Solar</x:v>
      </x:c>
      <x:c r="C301" s="14" t="str">
        <x:v>operational</x:v>
      </x:c>
      <x:c r="D301" s="20" t="str">
        <x:v>Tamil Nadu Virudhunagar 685.4</x:v>
      </x:c>
      <x:c r="E301" s="14" t="str">
        <x:v>Tamil Nadu</x:v>
      </x:c>
      <x:c r="F301" s="14" t="str">
        <x:v>Virudhunagar</x:v>
      </x:c>
      <x:c r="G301" s="14" t="str">
        <x:v>Virudhunagar</x:v>
      </x:c>
      <x:c r="H301" s="14"/>
      <x:c r="I301" s="15" t="n">
        <x:v>685.4</x:v>
      </x:c>
      <x:c r="J301" s="16" t="n">
        <x:v>1</x:v>
      </x:c>
      <x:c r="K301" s="15" t="n">
        <x:f>I301*J301</x:f>
        <x:v>685.4</x:v>
      </x:c>
      <x:c r="L301" s="20"/>
      <x:c r="M301" s="20" t="str">
        <x:v>District carried from original workbook</x:v>
      </x:c>
      <x:c r="N301" s="20" t="str"/>
      <x:c r="O301" s="20" t="str">
        <x:v>Existing</x:v>
      </x:c>
      <x:c r="P301" s="20" t="str">
        <x:v>No online correction applied because a single district was already provided.</x:v>
      </x:c>
    </x:row>
    <x:row r="302">
      <x:c r="A302" s="14" t="n">
        <x:v>200</x:v>
      </x:c>
      <x:c r="B302" s="14" t="str">
        <x:v>Oil &amp; Gas</x:v>
      </x:c>
      <x:c r="C302" s="14" t="str">
        <x:v>operational</x:v>
      </x:c>
      <x:c r="D302" s="20" t="str">
        <x:v>Basin Bridge Gas Turbine Power Station</x:v>
      </x:c>
      <x:c r="E302" s="14" t="str">
        <x:v>Tamil Nadu</x:v>
      </x:c>
      <x:c r="F302" s="14" t="str">
        <x:v>Chennai</x:v>
      </x:c>
      <x:c r="G302" s="14" t="str">
        <x:v>Chennai</x:v>
      </x:c>
      <x:c r="H302" s="14" t="str">
        <x:v>1996-02-12</x:v>
      </x:c>
      <x:c r="I302" s="15" t="n">
        <x:v>30</x:v>
      </x:c>
      <x:c r="J302" s="16" t="n">
        <x:v>1</x:v>
      </x:c>
      <x:c r="K302" s="15" t="n">
        <x:f>I302*J302</x:f>
        <x:v>30</x:v>
      </x:c>
      <x:c r="L302" s="20" t="str">
        <x:v>Tamil Nadu Generation and Distribution Corp. Ltd.</x:v>
      </x:c>
      <x:c r="M302" s="20" t="str">
        <x:v>District carried from original workbook</x:v>
      </x:c>
      <x:c r="N302" s="20" t="str"/>
      <x:c r="O302" s="20" t="str">
        <x:v>Existing</x:v>
      </x:c>
      <x:c r="P302" s="20" t="str">
        <x:v>No online correction applied because a single district was already provided.</x:v>
      </x:c>
    </x:row>
    <x:row r="303">
      <x:c r="A303" s="14" t="n">
        <x:v>201</x:v>
      </x:c>
      <x:c r="B303" s="14" t="str">
        <x:v>Oil &amp; Gas</x:v>
      </x:c>
      <x:c r="C303" s="14" t="str">
        <x:v>operational</x:v>
      </x:c>
      <x:c r="D303" s="20" t="str">
        <x:v>Basin Bridge Gas Turbine Power Station</x:v>
      </x:c>
      <x:c r="E303" s="14" t="str">
        <x:v>Tamil Nadu</x:v>
      </x:c>
      <x:c r="F303" s="14" t="str">
        <x:v>Chennai</x:v>
      </x:c>
      <x:c r="G303" s="14" t="str">
        <x:v>Chennai</x:v>
      </x:c>
      <x:c r="H303" s="14" t="str">
        <x:v>1996-02-25</x:v>
      </x:c>
      <x:c r="I303" s="15" t="n">
        <x:v>30</x:v>
      </x:c>
      <x:c r="J303" s="16" t="n">
        <x:v>1</x:v>
      </x:c>
      <x:c r="K303" s="15" t="n">
        <x:f>I303*J303</x:f>
        <x:v>30</x:v>
      </x:c>
      <x:c r="L303" s="20" t="str">
        <x:v>Tamil Nadu Generation and Distribution Corp. Ltd.</x:v>
      </x:c>
      <x:c r="M303" s="20" t="str">
        <x:v>District carried from original workbook</x:v>
      </x:c>
      <x:c r="N303" s="20" t="str"/>
      <x:c r="O303" s="20" t="str">
        <x:v>Existing</x:v>
      </x:c>
      <x:c r="P303" s="20" t="str">
        <x:v>No online correction applied because a single district was already provided.</x:v>
      </x:c>
    </x:row>
    <x:row r="304">
      <x:c r="A304" s="14" t="n">
        <x:v>202</x:v>
      </x:c>
      <x:c r="B304" s="14" t="str">
        <x:v>Oil &amp; Gas</x:v>
      </x:c>
      <x:c r="C304" s="14" t="str">
        <x:v>operational</x:v>
      </x:c>
      <x:c r="D304" s="20" t="str">
        <x:v>Basin Bridge Gas Turbine Power Station</x:v>
      </x:c>
      <x:c r="E304" s="14" t="str">
        <x:v>Tamil Nadu</x:v>
      </x:c>
      <x:c r="F304" s="14" t="str">
        <x:v>Chennai</x:v>
      </x:c>
      <x:c r="G304" s="14" t="str">
        <x:v>Chennai</x:v>
      </x:c>
      <x:c r="H304" s="14" t="str">
        <x:v>1996-03-26</x:v>
      </x:c>
      <x:c r="I304" s="15" t="n">
        <x:v>30</x:v>
      </x:c>
      <x:c r="J304" s="16" t="n">
        <x:v>1</x:v>
      </x:c>
      <x:c r="K304" s="15" t="n">
        <x:f>I304*J304</x:f>
        <x:v>30</x:v>
      </x:c>
      <x:c r="L304" s="20" t="str">
        <x:v>Tamil Nadu Generation and Distribution Corp. Ltd.</x:v>
      </x:c>
      <x:c r="M304" s="20" t="str">
        <x:v>District carried from original workbook</x:v>
      </x:c>
      <x:c r="N304" s="20" t="str"/>
      <x:c r="O304" s="20" t="str">
        <x:v>Existing</x:v>
      </x:c>
      <x:c r="P304" s="20" t="str">
        <x:v>No online correction applied because a single district was already provided.</x:v>
      </x:c>
    </x:row>
    <x:row r="305">
      <x:c r="A305" s="14" t="n">
        <x:v>203</x:v>
      </x:c>
      <x:c r="B305" s="14" t="str">
        <x:v>Oil &amp; Gas</x:v>
      </x:c>
      <x:c r="C305" s="14" t="str">
        <x:v>operational</x:v>
      </x:c>
      <x:c r="D305" s="20" t="str">
        <x:v>Basin Bridge Gas Turbine Power Station</x:v>
      </x:c>
      <x:c r="E305" s="14" t="str">
        <x:v>Tamil Nadu</x:v>
      </x:c>
      <x:c r="F305" s="14" t="str">
        <x:v>Chennai</x:v>
      </x:c>
      <x:c r="G305" s="14" t="str">
        <x:v>Chennai</x:v>
      </x:c>
      <x:c r="H305" s="14" t="str">
        <x:v>1996-03-31</x:v>
      </x:c>
      <x:c r="I305" s="15" t="n">
        <x:v>30</x:v>
      </x:c>
      <x:c r="J305" s="16" t="n">
        <x:v>1</x:v>
      </x:c>
      <x:c r="K305" s="15" t="n">
        <x:f>I305*J305</x:f>
        <x:v>30</x:v>
      </x:c>
      <x:c r="L305" s="20" t="str">
        <x:v>Tamil Nadu Generation and Distribution Corp. Ltd.</x:v>
      </x:c>
      <x:c r="M305" s="20" t="str">
        <x:v>District carried from original workbook</x:v>
      </x:c>
      <x:c r="N305" s="20" t="str"/>
      <x:c r="O305" s="20" t="str">
        <x:v>Existing</x:v>
      </x:c>
      <x:c r="P305" s="20" t="str">
        <x:v>No online correction applied because a single district was already provided.</x:v>
      </x:c>
    </x:row>
    <x:row r="306">
      <x:c r="A306" s="14" t="n">
        <x:v>204</x:v>
      </x:c>
      <x:c r="B306" s="14" t="str">
        <x:v>Oil &amp; Gas</x:v>
      </x:c>
      <x:c r="C306" s="14" t="str">
        <x:v>Temporarily Closed</x:v>
      </x:c>
      <x:c r="D306" s="20" t="str">
        <x:v>Karuppur Combined Cycle Power Plant</x:v>
      </x:c>
      <x:c r="E306" s="14" t="str">
        <x:v>Tamil Nadu</x:v>
      </x:c>
      <x:c r="F306" s="14" t="str">
        <x:v>Thanjavur</x:v>
      </x:c>
      <x:c r="G306" s="14" t="str">
        <x:v>Thanjavur</x:v>
      </x:c>
      <x:c r="H306" s="14" t="str">
        <x:v>2005-08-01</x:v>
      </x:c>
      <x:c r="I306" s="15" t="n">
        <x:v>70</x:v>
      </x:c>
      <x:c r="J306" s="16" t="n">
        <x:v>1</x:v>
      </x:c>
      <x:c r="K306" s="15" t="n">
        <x:f>I306*J306</x:f>
        <x:v>70</x:v>
      </x:c>
      <x:c r="L306" s="20" t="str">
        <x:v>Lanco Tanjore Power Co. Ltd.</x:v>
      </x:c>
      <x:c r="M306" s="20" t="str">
        <x:v>District carried from original workbook</x:v>
      </x:c>
      <x:c r="N306" s="20" t="str"/>
      <x:c r="O306" s="20" t="str">
        <x:v>Existing</x:v>
      </x:c>
      <x:c r="P306" s="20" t="str">
        <x:v>No online correction applied because a single district was already provided.</x:v>
      </x:c>
    </x:row>
    <x:row r="307">
      <x:c r="A307" s="14" t="n">
        <x:v>205</x:v>
      </x:c>
      <x:c r="B307" s="14" t="str">
        <x:v>Oil &amp; Gas</x:v>
      </x:c>
      <x:c r="C307" s="14" t="str">
        <x:v>Temporarily Closed</x:v>
      </x:c>
      <x:c r="D307" s="20" t="str">
        <x:v>Karuppur Combined Cycle Power Plant</x:v>
      </x:c>
      <x:c r="E307" s="14" t="str">
        <x:v>Tamil Nadu</x:v>
      </x:c>
      <x:c r="F307" s="14" t="str">
        <x:v>Thanjavur</x:v>
      </x:c>
      <x:c r="G307" s="14" t="str">
        <x:v>Thanjavur</x:v>
      </x:c>
      <x:c r="H307" s="14" t="str">
        <x:v>2005-08-01</x:v>
      </x:c>
      <x:c r="I307" s="15" t="n">
        <x:v>49.8</x:v>
      </x:c>
      <x:c r="J307" s="16" t="n">
        <x:v>1</x:v>
      </x:c>
      <x:c r="K307" s="15" t="n">
        <x:f>I307*J307</x:f>
        <x:v>49.8</x:v>
      </x:c>
      <x:c r="L307" s="20" t="str">
        <x:v>Lanco Tanjore Power Co. Ltd.</x:v>
      </x:c>
      <x:c r="M307" s="20" t="str">
        <x:v>District carried from original workbook</x:v>
      </x:c>
      <x:c r="N307" s="20" t="str"/>
      <x:c r="O307" s="20" t="str">
        <x:v>Existing</x:v>
      </x:c>
      <x:c r="P307" s="20" t="str">
        <x:v>No online correction applied because a single district was already provided.</x:v>
      </x:c>
    </x:row>
    <x:row r="308">
      <x:c r="A308" s="14" t="n">
        <x:v>206</x:v>
      </x:c>
      <x:c r="B308" s="14" t="str">
        <x:v>Oil &amp; Gas</x:v>
      </x:c>
      <x:c r="C308" s="14" t="str">
        <x:v>operational</x:v>
      </x:c>
      <x:c r="D308" s="20" t="str">
        <x:v>Kovilkalappal (Thirumakotai) Gas Combined Cycle Gas Turbine Power Station</x:v>
      </x:c>
      <x:c r="E308" s="14" t="str">
        <x:v>Tamil Nadu</x:v>
      </x:c>
      <x:c r="F308" s="14" t="str">
        <x:v>Thiruvarur</x:v>
      </x:c>
      <x:c r="G308" s="14" t="str">
        <x:v>Thiruvarur</x:v>
      </x:c>
      <x:c r="H308" s="14" t="str">
        <x:v>2001-02-05</x:v>
      </x:c>
      <x:c r="I308" s="15" t="n">
        <x:v>69.65</x:v>
      </x:c>
      <x:c r="J308" s="16" t="n">
        <x:v>1</x:v>
      </x:c>
      <x:c r="K308" s="15" t="n">
        <x:f>I308*J308</x:f>
        <x:v>69.65</x:v>
      </x:c>
      <x:c r="L308" s="20" t="str">
        <x:v>Tamil Nadu Generation and Distribution Corp. Ltd.</x:v>
      </x:c>
      <x:c r="M308" s="20" t="str">
        <x:v>District carried from original workbook</x:v>
      </x:c>
      <x:c r="N308" s="20" t="str"/>
      <x:c r="O308" s="20" t="str">
        <x:v>Existing</x:v>
      </x:c>
      <x:c r="P308" s="20" t="str">
        <x:v>No online correction applied because a single district was already provided.</x:v>
      </x:c>
    </x:row>
    <x:row r="309">
      <x:c r="A309" s="14" t="n">
        <x:v>207</x:v>
      </x:c>
      <x:c r="B309" s="14" t="str">
        <x:v>Oil &amp; Gas</x:v>
      </x:c>
      <x:c r="C309" s="14" t="str">
        <x:v>operational</x:v>
      </x:c>
      <x:c r="D309" s="20" t="str">
        <x:v>Kovilkalappal (Thirumakotai) Gas Combined Cycle Gas Turbine Power Station</x:v>
      </x:c>
      <x:c r="E309" s="14" t="str">
        <x:v>Tamil Nadu</x:v>
      </x:c>
      <x:c r="F309" s="14" t="str">
        <x:v>Thiruvarur</x:v>
      </x:c>
      <x:c r="G309" s="14" t="str">
        <x:v>Thiruvarur</x:v>
      </x:c>
      <x:c r="H309" s="14" t="str">
        <x:v>2001-02-05</x:v>
      </x:c>
      <x:c r="I309" s="15" t="n">
        <x:v>38.23</x:v>
      </x:c>
      <x:c r="J309" s="16" t="n">
        <x:v>1</x:v>
      </x:c>
      <x:c r="K309" s="15" t="n">
        <x:f>I309*J309</x:f>
        <x:v>38.23</x:v>
      </x:c>
      <x:c r="L309" s="20" t="str">
        <x:v>Tamil Nadu Generation and Distribution Corp. Ltd.</x:v>
      </x:c>
      <x:c r="M309" s="20" t="str">
        <x:v>District carried from original workbook</x:v>
      </x:c>
      <x:c r="N309" s="20" t="str"/>
      <x:c r="O309" s="20" t="str">
        <x:v>Existing</x:v>
      </x:c>
      <x:c r="P309" s="20" t="str">
        <x:v>No online correction applied because a single district was already provided.</x:v>
      </x:c>
    </x:row>
    <x:row r="310">
      <x:c r="A310" s="14" t="n">
        <x:v>208</x:v>
      </x:c>
      <x:c r="B310" s="14" t="str">
        <x:v>Oil &amp; Gas</x:v>
      </x:c>
      <x:c r="C310" s="14" t="str">
        <x:v>operational</x:v>
      </x:c>
      <x:c r="D310" s="20" t="str">
        <x:v>Kuttalam Gas Turbine Power Station</x:v>
      </x:c>
      <x:c r="E310" s="14" t="str">
        <x:v>Tamil Nadu</x:v>
      </x:c>
      <x:c r="F310" s="14" t="str">
        <x:v>Nagapattinam</x:v>
      </x:c>
      <x:c r="G310" s="14" t="str">
        <x:v>Nagapattinam</x:v>
      </x:c>
      <x:c r="H310" s="14" t="str">
        <x:v>2003-11-27</x:v>
      </x:c>
      <x:c r="I310" s="15" t="n">
        <x:v>63</x:v>
      </x:c>
      <x:c r="J310" s="16" t="n">
        <x:v>1</x:v>
      </x:c>
      <x:c r="K310" s="15" t="n">
        <x:f>I310*J310</x:f>
        <x:v>63</x:v>
      </x:c>
      <x:c r="L310" s="20" t="str">
        <x:v>Tamil Nadu Generation and Distribution Corp. Ltd.</x:v>
      </x:c>
      <x:c r="M310" s="20" t="str">
        <x:v>District carried from original workbook</x:v>
      </x:c>
      <x:c r="N310" s="20" t="str"/>
      <x:c r="O310" s="20" t="str">
        <x:v>Existing</x:v>
      </x:c>
      <x:c r="P310" s="20" t="str">
        <x:v>No online correction applied because a single district was already provided.</x:v>
      </x:c>
    </x:row>
    <x:row r="311">
      <x:c r="A311" s="14" t="n">
        <x:v>209</x:v>
      </x:c>
      <x:c r="B311" s="14" t="str">
        <x:v>Oil &amp; Gas</x:v>
      </x:c>
      <x:c r="C311" s="14" t="str">
        <x:v>operational</x:v>
      </x:c>
      <x:c r="D311" s="20" t="str">
        <x:v>Kuttalam Gas Turbine Power Station</x:v>
      </x:c>
      <x:c r="E311" s="14" t="str">
        <x:v>Tamil Nadu</x:v>
      </x:c>
      <x:c r="F311" s="14" t="str">
        <x:v>Nagapattinam</x:v>
      </x:c>
      <x:c r="G311" s="14" t="str">
        <x:v>Nagapattinam</x:v>
      </x:c>
      <x:c r="H311" s="14" t="str">
        <x:v>2004-03-24</x:v>
      </x:c>
      <x:c r="I311" s="15" t="n">
        <x:v>37</x:v>
      </x:c>
      <x:c r="J311" s="16" t="n">
        <x:v>1</x:v>
      </x:c>
      <x:c r="K311" s="15" t="n">
        <x:f>I311*J311</x:f>
        <x:v>37</x:v>
      </x:c>
      <x:c r="L311" s="20" t="str">
        <x:v>Tamil Nadu Generation and Distribution Corp. Ltd.</x:v>
      </x:c>
      <x:c r="M311" s="20" t="str">
        <x:v>District carried from original workbook</x:v>
      </x:c>
      <x:c r="N311" s="20" t="str"/>
      <x:c r="O311" s="20" t="str">
        <x:v>Existing</x:v>
      </x:c>
      <x:c r="P311" s="20" t="str">
        <x:v>No online correction applied because a single district was already provided.</x:v>
      </x:c>
    </x:row>
    <x:row r="312">
      <x:c r="A312" s="14" t="n">
        <x:v>210</x:v>
      </x:c>
      <x:c r="B312" s="14" t="str">
        <x:v>Oil &amp; Gas</x:v>
      </x:c>
      <x:c r="C312" s="14" t="str">
        <x:v>operational</x:v>
      </x:c>
      <x:c r="D312" s="20" t="str">
        <x:v>Pillaiperumalnallur (PPN) Power Plant Phase I</x:v>
      </x:c>
      <x:c r="E312" s="14" t="str">
        <x:v>Tamil Nadu</x:v>
      </x:c>
      <x:c r="F312" s="14" t="str">
        <x:v>Nagapattinam</x:v>
      </x:c>
      <x:c r="G312" s="14" t="str">
        <x:v>Nagapattinam</x:v>
      </x:c>
      <x:c r="H312" s="14" t="str">
        <x:v>2001-04-26</x:v>
      </x:c>
      <x:c r="I312" s="15" t="n">
        <x:v>225</x:v>
      </x:c>
      <x:c r="J312" s="16" t="n">
        <x:v>1</x:v>
      </x:c>
      <x:c r="K312" s="15" t="n">
        <x:f>I312*J312</x:f>
        <x:v>225</x:v>
      </x:c>
      <x:c r="L312" s="20" t="str">
        <x:v>PPN Power Generating Co. Private Ltd.</x:v>
      </x:c>
      <x:c r="M312" s="20" t="str">
        <x:v>District carried from original workbook</x:v>
      </x:c>
      <x:c r="N312" s="20" t="str"/>
      <x:c r="O312" s="20" t="str">
        <x:v>Existing</x:v>
      </x:c>
      <x:c r="P312" s="20" t="str">
        <x:v>No online correction applied because a single district was already provided.</x:v>
      </x:c>
    </x:row>
    <x:row r="313">
      <x:c r="A313" s="14" t="n">
        <x:v>211</x:v>
      </x:c>
      <x:c r="B313" s="14" t="str">
        <x:v>Oil &amp; Gas</x:v>
      </x:c>
      <x:c r="C313" s="14" t="str">
        <x:v>operational</x:v>
      </x:c>
      <x:c r="D313" s="20" t="str">
        <x:v>Pillaiperumalnallur (PPN) Power Plant Phase I</x:v>
      </x:c>
      <x:c r="E313" s="14" t="str">
        <x:v>Tamil Nadu</x:v>
      </x:c>
      <x:c r="F313" s="14" t="str">
        <x:v>Nagapattinam</x:v>
      </x:c>
      <x:c r="G313" s="14" t="str">
        <x:v>Nagapattinam</x:v>
      </x:c>
      <x:c r="H313" s="14" t="str">
        <x:v>2001-04-26</x:v>
      </x:c>
      <x:c r="I313" s="15" t="n">
        <x:v>105.5</x:v>
      </x:c>
      <x:c r="J313" s="16" t="n">
        <x:v>1</x:v>
      </x:c>
      <x:c r="K313" s="15" t="n">
        <x:f>I313*J313</x:f>
        <x:v>105.5</x:v>
      </x:c>
      <x:c r="L313" s="20" t="str">
        <x:v>PPN Power Generating Co. Private Ltd.</x:v>
      </x:c>
      <x:c r="M313" s="20" t="str">
        <x:v>District carried from original workbook</x:v>
      </x:c>
      <x:c r="N313" s="20" t="str"/>
      <x:c r="O313" s="20" t="str">
        <x:v>Existing</x:v>
      </x:c>
      <x:c r="P313" s="20" t="str">
        <x:v>No online correction applied because a single district was already provided.</x:v>
      </x:c>
    </x:row>
    <x:row r="314">
      <x:c r="A314" s="14" t="n">
        <x:v>212</x:v>
      </x:c>
      <x:c r="B314" s="14" t="str">
        <x:v>Oil &amp; Gas</x:v>
      </x:c>
      <x:c r="C314" s="14" t="str">
        <x:v>Temporarily Closed</x:v>
      </x:c>
      <x:c r="D314" s="20" t="str">
        <x:v>Valantharavai Combined Cycle Gas Power Plant</x:v>
      </x:c>
      <x:c r="E314" s="14" t="str">
        <x:v>Tamil Nadu</x:v>
      </x:c>
      <x:c r="F314" s="14" t="str">
        <x:v>Ramanathapuram</x:v>
      </x:c>
      <x:c r="G314" s="14" t="str">
        <x:v>Ramanathapuram</x:v>
      </x:c>
      <x:c r="H314" s="14" t="str">
        <x:v>2005-10-29</x:v>
      </x:c>
      <x:c r="I314" s="15" t="n">
        <x:v>38</x:v>
      </x:c>
      <x:c r="J314" s="16" t="n">
        <x:v>1</x:v>
      </x:c>
      <x:c r="K314" s="15" t="n">
        <x:f>I314*J314</x:f>
        <x:v>38</x:v>
      </x:c>
      <x:c r="L314" s="20" t="str">
        <x:v>Pioneer Power Ltd.</x:v>
      </x:c>
      <x:c r="M314" s="20" t="str">
        <x:v>District carried from original workbook</x:v>
      </x:c>
      <x:c r="N314" s="20" t="str"/>
      <x:c r="O314" s="20" t="str">
        <x:v>Existing</x:v>
      </x:c>
      <x:c r="P314" s="20" t="str">
        <x:v>No online correction applied because a single district was already provided.</x:v>
      </x:c>
    </x:row>
    <x:row r="315">
      <x:c r="A315" s="14" t="n">
        <x:v>213</x:v>
      </x:c>
      <x:c r="B315" s="14" t="str">
        <x:v>Oil &amp; Gas</x:v>
      </x:c>
      <x:c r="C315" s="14" t="str">
        <x:v>Temporarily Closed</x:v>
      </x:c>
      <x:c r="D315" s="20" t="str">
        <x:v>Valantharavai Combined Cycle Gas Power Plant</x:v>
      </x:c>
      <x:c r="E315" s="14" t="str">
        <x:v>Tamil Nadu</x:v>
      </x:c>
      <x:c r="F315" s="14" t="str">
        <x:v>Ramanathapuram</x:v>
      </x:c>
      <x:c r="G315" s="14" t="str">
        <x:v>Ramanathapuram</x:v>
      </x:c>
      <x:c r="H315" s="14" t="str">
        <x:v>2006-05-01</x:v>
      </x:c>
      <x:c r="I315" s="15" t="n">
        <x:v>14.8</x:v>
      </x:c>
      <x:c r="J315" s="16" t="n">
        <x:v>1</x:v>
      </x:c>
      <x:c r="K315" s="15" t="n">
        <x:f>I315*J315</x:f>
        <x:v>14.8</x:v>
      </x:c>
      <x:c r="L315" s="20" t="str">
        <x:v>Pioneer Power Ltd.</x:v>
      </x:c>
      <x:c r="M315" s="20" t="str">
        <x:v>District carried from original workbook</x:v>
      </x:c>
      <x:c r="N315" s="20" t="str"/>
      <x:c r="O315" s="20" t="str">
        <x:v>Existing</x:v>
      </x:c>
      <x:c r="P315" s="20" t="str">
        <x:v>No online correction applied because a single district was already provided.</x:v>
      </x:c>
    </x:row>
    <x:row r="316">
      <x:c r="A316" s="14" t="n">
        <x:v>214</x:v>
      </x:c>
      <x:c r="B316" s="14" t="str">
        <x:v>Oil &amp; Gas</x:v>
      </x:c>
      <x:c r="C316" s="14" t="str">
        <x:v>operational</x:v>
      </x:c>
      <x:c r="D316" s="20" t="str">
        <x:v>Valuthur Gas Turbine Power Station</x:v>
      </x:c>
      <x:c r="E316" s="14" t="str">
        <x:v>Tamil Nadu</x:v>
      </x:c>
      <x:c r="F316" s="14" t="str">
        <x:v>Ramanathapuram</x:v>
      </x:c>
      <x:c r="G316" s="14" t="str">
        <x:v>Ramanathapuram</x:v>
      </x:c>
      <x:c r="H316" s="14" t="str">
        <x:v>2002-12-24</x:v>
      </x:c>
      <x:c r="I316" s="15" t="n">
        <x:v>60</x:v>
      </x:c>
      <x:c r="J316" s="16" t="n">
        <x:v>1</x:v>
      </x:c>
      <x:c r="K316" s="15" t="n">
        <x:f>I316*J316</x:f>
        <x:v>60</x:v>
      </x:c>
      <x:c r="L316" s="20" t="str">
        <x:v>Tamil Nadu Generation and Distribution Corp. Ltd.</x:v>
      </x:c>
      <x:c r="M316" s="20" t="str">
        <x:v>District carried from original workbook</x:v>
      </x:c>
      <x:c r="N316" s="20" t="str"/>
      <x:c r="O316" s="20" t="str">
        <x:v>Existing</x:v>
      </x:c>
      <x:c r="P316" s="20" t="str">
        <x:v>No online correction applied because a single district was already provided.</x:v>
      </x:c>
    </x:row>
    <x:row r="317">
      <x:c r="A317" s="14" t="n">
        <x:v>215</x:v>
      </x:c>
      <x:c r="B317" s="14" t="str">
        <x:v>Oil &amp; Gas</x:v>
      </x:c>
      <x:c r="C317" s="14" t="str">
        <x:v>operational</x:v>
      </x:c>
      <x:c r="D317" s="20" t="str">
        <x:v>Valuthur Gas Turbine Power Station</x:v>
      </x:c>
      <x:c r="E317" s="14" t="str">
        <x:v>Tamil Nadu</x:v>
      </x:c>
      <x:c r="F317" s="14" t="str">
        <x:v>Ramanathapuram</x:v>
      </x:c>
      <x:c r="G317" s="14" t="str">
        <x:v>Ramanathapuram</x:v>
      </x:c>
      <x:c r="H317" s="14" t="str">
        <x:v>2003-03-13</x:v>
      </x:c>
      <x:c r="I317" s="15" t="n">
        <x:v>34</x:v>
      </x:c>
      <x:c r="J317" s="16" t="n">
        <x:v>1</x:v>
      </x:c>
      <x:c r="K317" s="15" t="n">
        <x:f>I317*J317</x:f>
        <x:v>34</x:v>
      </x:c>
      <x:c r="L317" s="20" t="str">
        <x:v>Tamil Nadu Generation and Distribution Corp. Ltd.</x:v>
      </x:c>
      <x:c r="M317" s="20" t="str">
        <x:v>District carried from original workbook</x:v>
      </x:c>
      <x:c r="N317" s="20" t="str"/>
      <x:c r="O317" s="20" t="str">
        <x:v>Existing</x:v>
      </x:c>
      <x:c r="P317" s="20" t="str">
        <x:v>No online correction applied because a single district was already provided.</x:v>
      </x:c>
    </x:row>
    <x:row r="318">
      <x:c r="A318" s="14" t="n">
        <x:v>216</x:v>
      </x:c>
      <x:c r="B318" s="14" t="str">
        <x:v>Oil &amp; Gas</x:v>
      </x:c>
      <x:c r="C318" s="14" t="str">
        <x:v>operational</x:v>
      </x:c>
      <x:c r="D318" s="20" t="str">
        <x:v>Valuthur Gas Turbine Power Station</x:v>
      </x:c>
      <x:c r="E318" s="14" t="str">
        <x:v>Tamil Nadu</x:v>
      </x:c>
      <x:c r="F318" s="14" t="str">
        <x:v>Ramanathapuram</x:v>
      </x:c>
      <x:c r="G318" s="14" t="str">
        <x:v>Ramanathapuram</x:v>
      </x:c>
      <x:c r="H318" s="14" t="str">
        <x:v>2008-05-06</x:v>
      </x:c>
      <x:c r="I318" s="15" t="n">
        <x:v>59.8</x:v>
      </x:c>
      <x:c r="J318" s="16" t="n">
        <x:v>1</x:v>
      </x:c>
      <x:c r="K318" s="15" t="n">
        <x:f>I318*J318</x:f>
        <x:v>59.8</x:v>
      </x:c>
      <x:c r="L318" s="20" t="str">
        <x:v>Tamil Nadu Generation and Distribution Corp. Ltd.</x:v>
      </x:c>
      <x:c r="M318" s="20" t="str">
        <x:v>District carried from original workbook</x:v>
      </x:c>
      <x:c r="N318" s="20" t="str"/>
      <x:c r="O318" s="20" t="str">
        <x:v>Existing</x:v>
      </x:c>
      <x:c r="P318" s="20" t="str">
        <x:v>No online correction applied because a single district was already provided.</x:v>
      </x:c>
    </x:row>
    <x:row r="319">
      <x:c r="A319" s="14" t="n">
        <x:v>217</x:v>
      </x:c>
      <x:c r="B319" s="14" t="str">
        <x:v>Oil &amp; Gas</x:v>
      </x:c>
      <x:c r="C319" s="14" t="str">
        <x:v>operational</x:v>
      </x:c>
      <x:c r="D319" s="20" t="str">
        <x:v>Valuthur Gas Turbine Power Station</x:v>
      </x:c>
      <x:c r="E319" s="14" t="str">
        <x:v>Tamil Nadu</x:v>
      </x:c>
      <x:c r="F319" s="14" t="str">
        <x:v>Ramanathapuram</x:v>
      </x:c>
      <x:c r="G319" s="14" t="str">
        <x:v>Ramanathapuram</x:v>
      </x:c>
      <x:c r="H319" s="14" t="str">
        <x:v>2008-08-31</x:v>
      </x:c>
      <x:c r="I319" s="15" t="n">
        <x:v>32.4</x:v>
      </x:c>
      <x:c r="J319" s="16" t="n">
        <x:v>1</x:v>
      </x:c>
      <x:c r="K319" s="15" t="n">
        <x:f>I319*J319</x:f>
        <x:v>32.4</x:v>
      </x:c>
      <x:c r="L319" s="20" t="str">
        <x:v>Tamil Nadu Generation and Distribution Corp. Ltd.</x:v>
      </x:c>
      <x:c r="M319" s="20" t="str">
        <x:v>District carried from original workbook</x:v>
      </x:c>
      <x:c r="N319" s="20" t="str"/>
      <x:c r="O319" s="20" t="str">
        <x:v>Existing</x:v>
      </x:c>
      <x:c r="P319" s="20" t="str">
        <x:v>No online correction applied because a single district was already provided.</x:v>
      </x:c>
    </x:row>
    <x:row r="320">
      <x:c r="A320" s="14" t="n">
        <x:v>218</x:v>
      </x:c>
      <x:c r="B320" s="14" t="str">
        <x:v>Bio Power</x:v>
      </x:c>
      <x:c r="C320" s="14" t="str">
        <x:v>operational</x:v>
      </x:c>
      <x:c r="D320" s="20" t="str">
        <x:v>Ambika Sugars (Previously M/s. SREL) Tamil Nadu Cuddalore 40</x:v>
      </x:c>
      <x:c r="E320" s="14" t="str">
        <x:v>Tamil Nadu</x:v>
      </x:c>
      <x:c r="F320" s="14" t="str">
        <x:v>Cuddalore</x:v>
      </x:c>
      <x:c r="G320" s="14" t="str">
        <x:v>Cuddalore</x:v>
      </x:c>
      <x:c r="H320" s="14" t="str">
        <x:v>N.A.</x:v>
      </x:c>
      <x:c r="I320" s="15" t="n">
        <x:v>40</x:v>
      </x:c>
      <x:c r="J320" s="16" t="n">
        <x:v>1</x:v>
      </x:c>
      <x:c r="K320" s="15" t="n">
        <x:f>I320*J320</x:f>
        <x:v>40</x:v>
      </x:c>
      <x:c r="L320" s="20" t="str">
        <x:v>Ambika Sugars (Previously M/s. SREL)</x:v>
      </x:c>
      <x:c r="M320" s="20" t="str">
        <x:v>District carried from original workbook</x:v>
      </x:c>
      <x:c r="N320" s="20" t="str"/>
      <x:c r="O320" s="20" t="str">
        <x:v>Existing</x:v>
      </x:c>
      <x:c r="P320" s="20" t="str">
        <x:v>No online correction applied because a single district was already provided.</x:v>
      </x:c>
    </x:row>
    <x:row r="321">
      <x:c r="A321" s="14" t="n">
        <x:v>219</x:v>
      </x:c>
      <x:c r="B321" s="14" t="str">
        <x:v>Bio Power</x:v>
      </x:c>
      <x:c r="C321" s="14" t="str">
        <x:v>operational</x:v>
      </x:c>
      <x:c r="D321" s="20" t="str">
        <x:v>Arashi Hi-Tech Bio-Power 
Ltd. Tamil Nadu Coimbatore 1.6</x:v>
      </x:c>
      <x:c r="E321" s="14" t="str">
        <x:v>Tamil Nadu</x:v>
      </x:c>
      <x:c r="F321" s="14" t="str">
        <x:v>Coimbatore</x:v>
      </x:c>
      <x:c r="G321" s="14" t="str">
        <x:v>Coimbatore</x:v>
      </x:c>
      <x:c r="H321" s="14" t="str">
        <x:v>N.A.</x:v>
      </x:c>
      <x:c r="I321" s="15" t="n">
        <x:v>1.6</x:v>
      </x:c>
      <x:c r="J321" s="16" t="n">
        <x:v>1</x:v>
      </x:c>
      <x:c r="K321" s="15" t="n">
        <x:f>I321*J321</x:f>
        <x:v>1.6</x:v>
      </x:c>
      <x:c r="L321" s="20" t="str">
        <x:v>Arashi Hi-Tech Bio-Power 
Ltd.</x:v>
      </x:c>
      <x:c r="M321" s="20" t="str">
        <x:v>District carried from original workbook</x:v>
      </x:c>
      <x:c r="N321" s="20" t="str"/>
      <x:c r="O321" s="20" t="str">
        <x:v>Existing</x:v>
      </x:c>
      <x:c r="P321" s="20" t="str">
        <x:v>No online correction applied because a single district was already provided.</x:v>
      </x:c>
    </x:row>
    <x:row r="322">
      <x:c r="A322" s="14" t="n">
        <x:v>220</x:v>
      </x:c>
      <x:c r="B322" s="14" t="str">
        <x:v>Bio Power</x:v>
      </x:c>
      <x:c r="C322" s="14" t="str">
        <x:v>operational</x:v>
      </x:c>
      <x:c r="D322" s="20" t="str">
        <x:v>Arunachala Sugars Ltd. Tamil Nadu Tiruvannamalai 19</x:v>
      </x:c>
      <x:c r="E322" s="14" t="str">
        <x:v>Tamil Nadu</x:v>
      </x:c>
      <x:c r="F322" s="14" t="str">
        <x:v>Tiruvannamalai</x:v>
      </x:c>
      <x:c r="G322" s="14" t="str">
        <x:v>Tiruvannamalai</x:v>
      </x:c>
      <x:c r="H322" s="14" t="str">
        <x:v>N.A.</x:v>
      </x:c>
      <x:c r="I322" s="15" t="n">
        <x:v>19</x:v>
      </x:c>
      <x:c r="J322" s="16" t="n">
        <x:v>1</x:v>
      </x:c>
      <x:c r="K322" s="15" t="n">
        <x:f>I322*J322</x:f>
        <x:v>19</x:v>
      </x:c>
      <x:c r="L322" s="20" t="str">
        <x:v>Arunachala Sugars Ltd.</x:v>
      </x:c>
      <x:c r="M322" s="20" t="str">
        <x:v>District carried from original workbook</x:v>
      </x:c>
      <x:c r="N322" s="20" t="str"/>
      <x:c r="O322" s="20" t="str">
        <x:v>Existing</x:v>
      </x:c>
      <x:c r="P322" s="20" t="str">
        <x:v>No online correction applied because a single district was already provided.</x:v>
      </x:c>
    </x:row>
    <x:row r="323">
      <x:c r="A323" s="14" t="n">
        <x:v>221</x:v>
      </x:c>
      <x:c r="B323" s="14" t="str">
        <x:v>Bio Power</x:v>
      </x:c>
      <x:c r="C323" s="14" t="str">
        <x:v>operational</x:v>
      </x:c>
      <x:c r="D323" s="20" t="str">
        <x:v>Astro Energy and Bio Systems Ltd. Tamil Nadu Madurai 10</x:v>
      </x:c>
      <x:c r="E323" s="14" t="str">
        <x:v>Tamil Nadu</x:v>
      </x:c>
      <x:c r="F323" s="14" t="str">
        <x:v>Madurai</x:v>
      </x:c>
      <x:c r="G323" s="14" t="str">
        <x:v>Madurai</x:v>
      </x:c>
      <x:c r="H323" s="14" t="str">
        <x:v>N.A.</x:v>
      </x:c>
      <x:c r="I323" s="15" t="n">
        <x:v>10</x:v>
      </x:c>
      <x:c r="J323" s="16" t="n">
        <x:v>1</x:v>
      </x:c>
      <x:c r="K323" s="15" t="n">
        <x:f>I323*J323</x:f>
        <x:v>10</x:v>
      </x:c>
      <x:c r="L323" s="20" t="str">
        <x:v>Astro Energy and Bio Systems Ltd.</x:v>
      </x:c>
      <x:c r="M323" s="20" t="str">
        <x:v>District carried from original workbook</x:v>
      </x:c>
      <x:c r="N323" s="20" t="str"/>
      <x:c r="O323" s="20" t="str">
        <x:v>Existing</x:v>
      </x:c>
      <x:c r="P323" s="20" t="str">
        <x:v>No online correction applied because a single district was already provided.</x:v>
      </x:c>
    </x:row>
    <x:row r="324">
      <x:c r="A324" s="14" t="n">
        <x:v>222</x:v>
      </x:c>
      <x:c r="B324" s="14" t="str">
        <x:v>Bio Power</x:v>
      </x:c>
      <x:c r="C324" s="14" t="str">
        <x:v>operational</x:v>
      </x:c>
      <x:c r="D324" s="20" t="str">
        <x:v>Auro Energy Ltd. Tamil Nadu Thanjavur 16</x:v>
      </x:c>
      <x:c r="E324" s="14" t="str">
        <x:v>Tamil Nadu</x:v>
      </x:c>
      <x:c r="F324" s="14" t="str">
        <x:v>Thanjavur</x:v>
      </x:c>
      <x:c r="G324" s="14" t="str">
        <x:v>Thanjavur</x:v>
      </x:c>
      <x:c r="H324" s="14" t="str">
        <x:v>N.A.</x:v>
      </x:c>
      <x:c r="I324" s="15" t="n">
        <x:v>16</x:v>
      </x:c>
      <x:c r="J324" s="16" t="n">
        <x:v>1</x:v>
      </x:c>
      <x:c r="K324" s="15" t="n">
        <x:f>I324*J324</x:f>
        <x:v>16</x:v>
      </x:c>
      <x:c r="L324" s="20" t="str">
        <x:v>Auro Energy Ltd.</x:v>
      </x:c>
      <x:c r="M324" s="20" t="str">
        <x:v>District carried from original workbook</x:v>
      </x:c>
      <x:c r="N324" s="20" t="str"/>
      <x:c r="O324" s="20" t="str">
        <x:v>Existing</x:v>
      </x:c>
      <x:c r="P324" s="20" t="str">
        <x:v>No online correction applied because a single district was already provided.</x:v>
      </x:c>
    </x:row>
    <x:row r="325">
      <x:c r="A325" s="14" t="n">
        <x:v>223</x:v>
      </x:c>
      <x:c r="B325" s="14" t="str">
        <x:v>Bio Power</x:v>
      </x:c>
      <x:c r="C325" s="14" t="str">
        <x:v>operational</x:v>
      </x:c>
      <x:c r="D325" s="20" t="str">
        <x:v>Aurobindo Agro Energy Pvt. Ltd. Tamil Nadu Sivaganga 15</x:v>
      </x:c>
      <x:c r="E325" s="14" t="str">
        <x:v>Tamil Nadu</x:v>
      </x:c>
      <x:c r="F325" s="14" t="str">
        <x:v>Sivaganga</x:v>
      </x:c>
      <x:c r="G325" s="14" t="str">
        <x:v>Sivaganga</x:v>
      </x:c>
      <x:c r="H325" s="14" t="str">
        <x:v>N.A.</x:v>
      </x:c>
      <x:c r="I325" s="15" t="n">
        <x:v>15</x:v>
      </x:c>
      <x:c r="J325" s="16" t="n">
        <x:v>1</x:v>
      </x:c>
      <x:c r="K325" s="15" t="n">
        <x:f>I325*J325</x:f>
        <x:v>15</x:v>
      </x:c>
      <x:c r="L325" s="20" t="str">
        <x:v>Aurobindo Agro Energy Pvt. Ltd.</x:v>
      </x:c>
      <x:c r="M325" s="20" t="str">
        <x:v>District carried from original workbook</x:v>
      </x:c>
      <x:c r="N325" s="20" t="str"/>
      <x:c r="O325" s="20" t="str">
        <x:v>Existing</x:v>
      </x:c>
      <x:c r="P325" s="20" t="str">
        <x:v>No online correction applied because a single district was already provided.</x:v>
      </x:c>
    </x:row>
    <x:row r="326">
      <x:c r="A326" s="14" t="n">
        <x:v>224</x:v>
      </x:c>
      <x:c r="B326" s="14" t="str">
        <x:v>Bio Power</x:v>
      </x:c>
      <x:c r="C326" s="14" t="str">
        <x:v>operational</x:v>
      </x:c>
      <x:c r="D326" s="20" t="str">
        <x:v>Auromira Bio Power
India (P) Ltd Tamil Nadu Tirunelveli 15</x:v>
      </x:c>
      <x:c r="E326" s="14" t="str">
        <x:v>Tamil Nadu</x:v>
      </x:c>
      <x:c r="F326" s="14" t="str">
        <x:v>Tirunelveli</x:v>
      </x:c>
      <x:c r="G326" s="14" t="str">
        <x:v>Tirunelveli</x:v>
      </x:c>
      <x:c r="H326" s="14" t="str">
        <x:v>N.A.</x:v>
      </x:c>
      <x:c r="I326" s="15" t="n">
        <x:v>15</x:v>
      </x:c>
      <x:c r="J326" s="16" t="n">
        <x:v>1</x:v>
      </x:c>
      <x:c r="K326" s="15" t="n">
        <x:f>I326*J326</x:f>
        <x:v>15</x:v>
      </x:c>
      <x:c r="L326" s="20" t="str">
        <x:v>Auromira Bio Power
India (P) Ltd</x:v>
      </x:c>
      <x:c r="M326" s="20" t="str">
        <x:v>District carried from original workbook</x:v>
      </x:c>
      <x:c r="N326" s="20" t="str"/>
      <x:c r="O326" s="20" t="str">
        <x:v>Existing</x:v>
      </x:c>
      <x:c r="P326" s="20" t="str">
        <x:v>No online correction applied because a single district was already provided.</x:v>
      </x:c>
    </x:row>
    <x:row r="327">
      <x:c r="A327" s="14" t="n">
        <x:v>225</x:v>
      </x:c>
      <x:c r="B327" s="14" t="str">
        <x:v>Bio Power</x:v>
      </x:c>
      <x:c r="C327" s="14" t="str">
        <x:v>operational</x:v>
      </x:c>
      <x:c r="D327" s="20" t="str">
        <x:v>Bannari Amman Sugars Ltd. Tamil Nadu Erode 20</x:v>
      </x:c>
      <x:c r="E327" s="14" t="str">
        <x:v>Tamil Nadu</x:v>
      </x:c>
      <x:c r="F327" s="14" t="str">
        <x:v>Erode</x:v>
      </x:c>
      <x:c r="G327" s="14" t="str">
        <x:v>Erode</x:v>
      </x:c>
      <x:c r="H327" s="14" t="str">
        <x:v>N.A.</x:v>
      </x:c>
      <x:c r="I327" s="15" t="n">
        <x:v>20</x:v>
      </x:c>
      <x:c r="J327" s="16" t="n">
        <x:v>1</x:v>
      </x:c>
      <x:c r="K327" s="15" t="n">
        <x:f>I327*J327</x:f>
        <x:v>20</x:v>
      </x:c>
      <x:c r="L327" s="20" t="str">
        <x:v>Bannari Amman Sugars Ltd.</x:v>
      </x:c>
      <x:c r="M327" s="20" t="str">
        <x:v>District carried from original workbook</x:v>
      </x:c>
      <x:c r="N327" s="20" t="str"/>
      <x:c r="O327" s="20" t="str">
        <x:v>Existing</x:v>
      </x:c>
      <x:c r="P327" s="20" t="str">
        <x:v>No online correction applied because a single district was already provided.</x:v>
      </x:c>
    </x:row>
    <x:row r="328">
      <x:c r="A328" s="14" t="n">
        <x:v>226</x:v>
      </x:c>
      <x:c r="B328" s="14" t="str">
        <x:v>Bio Power</x:v>
      </x:c>
      <x:c r="C328" s="14" t="str">
        <x:v>operational</x:v>
      </x:c>
      <x:c r="D328" s="20" t="str">
        <x:v>Bannari Amman Sugars and Chemicals Ltd. Tamil Nadu Tiruvannamalai 28.8</x:v>
      </x:c>
      <x:c r="E328" s="14" t="str">
        <x:v>Tamil Nadu</x:v>
      </x:c>
      <x:c r="F328" s="14" t="str">
        <x:v>Tiruvannamalai</x:v>
      </x:c>
      <x:c r="G328" s="14" t="str">
        <x:v>Tiruvannamalai</x:v>
      </x:c>
      <x:c r="H328" s="14" t="str">
        <x:v>N.A.</x:v>
      </x:c>
      <x:c r="I328" s="15" t="n">
        <x:v>28.8</x:v>
      </x:c>
      <x:c r="J328" s="16" t="n">
        <x:v>1</x:v>
      </x:c>
      <x:c r="K328" s="15" t="n">
        <x:f>I328*J328</x:f>
        <x:v>28.8</x:v>
      </x:c>
      <x:c r="L328" s="20" t="str">
        <x:v>Bannari Amman Sugars and Chemicals Ltd.</x:v>
      </x:c>
      <x:c r="M328" s="20" t="str">
        <x:v>District carried from original workbook</x:v>
      </x:c>
      <x:c r="N328" s="20" t="str"/>
      <x:c r="O328" s="20" t="str">
        <x:v>Existing</x:v>
      </x:c>
      <x:c r="P328" s="20" t="str">
        <x:v>No online correction applied because a single district was already provided.</x:v>
      </x:c>
    </x:row>
    <x:row r="329">
      <x:c r="A329" s="14" t="n">
        <x:v>227</x:v>
      </x:c>
      <x:c r="B329" s="14" t="str">
        <x:v>Bio Power</x:v>
      </x:c>
      <x:c r="C329" s="14" t="str">
        <x:v>operational</x:v>
      </x:c>
      <x:c r="D329" s="20" t="str">
        <x:v>C.M.D.A., Koyambedu Veg. Market Bio-metharation plant Tamil Nadu Chennai 0.25</x:v>
      </x:c>
      <x:c r="E329" s="14" t="str">
        <x:v>Tamil Nadu</x:v>
      </x:c>
      <x:c r="F329" s="14" t="str">
        <x:v>Chennai</x:v>
      </x:c>
      <x:c r="G329" s="14" t="str">
        <x:v>Chennai</x:v>
      </x:c>
      <x:c r="H329" s="14" t="str">
        <x:v>N.A.</x:v>
      </x:c>
      <x:c r="I329" s="15" t="n">
        <x:v>0.25</x:v>
      </x:c>
      <x:c r="J329" s="16" t="n">
        <x:v>1</x:v>
      </x:c>
      <x:c r="K329" s="15" t="n">
        <x:f>I329*J329</x:f>
        <x:v>0.25</x:v>
      </x:c>
      <x:c r="L329" s="20" t="str">
        <x:v>C.M.D.A., Koyambedu Veg. Market Bio-metharation plant</x:v>
      </x:c>
      <x:c r="M329" s="20" t="str">
        <x:v>District carried from original workbook</x:v>
      </x:c>
      <x:c r="N329" s="20" t="str"/>
      <x:c r="O329" s="20" t="str">
        <x:v>Existing</x:v>
      </x:c>
      <x:c r="P329" s="20" t="str">
        <x:v>No online correction applied because a single district was already provided.</x:v>
      </x:c>
    </x:row>
    <x:row r="330">
      <x:c r="A330" s="14" t="n">
        <x:v>228</x:v>
      </x:c>
      <x:c r="B330" s="14" t="str">
        <x:v>Bio Power</x:v>
      </x:c>
      <x:c r="C330" s="14" t="str">
        <x:v>operational</x:v>
      </x:c>
      <x:c r="D330" s="20" t="str">
        <x:v>Cheyyar Co.op Sugar Mills Tamil Nadu Tiruvannamalai 7.5</x:v>
      </x:c>
      <x:c r="E330" s="14" t="str">
        <x:v>Tamil Nadu</x:v>
      </x:c>
      <x:c r="F330" s="14" t="str">
        <x:v>Tiruvannamalai</x:v>
      </x:c>
      <x:c r="G330" s="14" t="str">
        <x:v>Tiruvannamalai</x:v>
      </x:c>
      <x:c r="H330" s="14" t="str">
        <x:v>N.A.</x:v>
      </x:c>
      <x:c r="I330" s="15" t="n">
        <x:v>7.5</x:v>
      </x:c>
      <x:c r="J330" s="16" t="n">
        <x:v>1</x:v>
      </x:c>
      <x:c r="K330" s="15" t="n">
        <x:f>I330*J330</x:f>
        <x:v>7.5</x:v>
      </x:c>
      <x:c r="L330" s="20" t="str">
        <x:v>Cheyyar Co.op Sugar Mills</x:v>
      </x:c>
      <x:c r="M330" s="20" t="str">
        <x:v>District carried from original workbook</x:v>
      </x:c>
      <x:c r="N330" s="20" t="str"/>
      <x:c r="O330" s="20" t="str">
        <x:v>Existing</x:v>
      </x:c>
      <x:c r="P330" s="20" t="str">
        <x:v>No online correction applied because a single district was already provided.</x:v>
      </x:c>
    </x:row>
    <x:row r="331">
      <x:c r="A331" s="14" t="n">
        <x:v>229</x:v>
      </x:c>
      <x:c r="B331" s="14" t="str">
        <x:v>Bio Power</x:v>
      </x:c>
      <x:c r="C331" s="14" t="str">
        <x:v>operational</x:v>
      </x:c>
      <x:c r="D331" s="20" t="str">
        <x:v>Chitra Bio Energy Ltd. Tamil Nadu Pudukkottai 7.5</x:v>
      </x:c>
      <x:c r="E331" s="14" t="str">
        <x:v>Tamil Nadu</x:v>
      </x:c>
      <x:c r="F331" s="14" t="str">
        <x:v>Pudukkottai</x:v>
      </x:c>
      <x:c r="G331" s="14" t="str">
        <x:v>Pudukkottai</x:v>
      </x:c>
      <x:c r="H331" s="14" t="str">
        <x:v>N.A.</x:v>
      </x:c>
      <x:c r="I331" s="15" t="n">
        <x:v>7.5</x:v>
      </x:c>
      <x:c r="J331" s="16" t="n">
        <x:v>1</x:v>
      </x:c>
      <x:c r="K331" s="15" t="n">
        <x:f>I331*J331</x:f>
        <x:v>7.5</x:v>
      </x:c>
      <x:c r="L331" s="20" t="str">
        <x:v>Chitra Bio Energy Ltd.</x:v>
      </x:c>
      <x:c r="M331" s="20" t="str">
        <x:v>District carried from original workbook</x:v>
      </x:c>
      <x:c r="N331" s="20" t="str"/>
      <x:c r="O331" s="20" t="str">
        <x:v>Existing</x:v>
      </x:c>
      <x:c r="P331" s="20" t="str">
        <x:v>No online correction applied because a single district was already provided.</x:v>
      </x:c>
    </x:row>
    <x:row r="332">
      <x:c r="A332" s="14" t="n">
        <x:v>230</x:v>
      </x:c>
      <x:c r="B332" s="14" t="str">
        <x:v>Bio Power</x:v>
      </x:c>
      <x:c r="C332" s="14" t="str">
        <x:v>operational</x:v>
      </x:c>
      <x:c r="D332" s="20" t="str">
        <x:v>Dhanalakshmi Srinivasan Sugars Pvt Ltd. Tamil Nadu Perambalur 25</x:v>
      </x:c>
      <x:c r="E332" s="14" t="str">
        <x:v>Tamil Nadu</x:v>
      </x:c>
      <x:c r="F332" s="14" t="str">
        <x:v>Perambalur</x:v>
      </x:c>
      <x:c r="G332" s="14" t="str">
        <x:v>Perambalur</x:v>
      </x:c>
      <x:c r="H332" s="14" t="str">
        <x:v>N.A.</x:v>
      </x:c>
      <x:c r="I332" s="15" t="n">
        <x:v>25</x:v>
      </x:c>
      <x:c r="J332" s="16" t="n">
        <x:v>1</x:v>
      </x:c>
      <x:c r="K332" s="15" t="n">
        <x:f>I332*J332</x:f>
        <x:v>25</x:v>
      </x:c>
      <x:c r="L332" s="20" t="str">
        <x:v>Dhanalakshmi Srinivasan Sugars Pvt Ltd.</x:v>
      </x:c>
      <x:c r="M332" s="20" t="str">
        <x:v>District carried from original workbook</x:v>
      </x:c>
      <x:c r="N332" s="20" t="str"/>
      <x:c r="O332" s="20" t="str">
        <x:v>Existing</x:v>
      </x:c>
      <x:c r="P332" s="20" t="str">
        <x:v>No online correction applied because a single district was already provided.</x:v>
      </x:c>
    </x:row>
    <x:row r="333">
      <x:c r="A333" s="14" t="n">
        <x:v>231</x:v>
      </x:c>
      <x:c r="B333" s="14" t="str">
        <x:v>Bio Power</x:v>
      </x:c>
      <x:c r="C333" s="14" t="str">
        <x:v>operational</x:v>
      </x:c>
      <x:c r="D333" s="20" t="str">
        <x:v>Dharani Sugars &amp; Chemical Ltd. Tamil Nadu Tiruvannamalai 15</x:v>
      </x:c>
      <x:c r="E333" s="14" t="str">
        <x:v>Tamil Nadu</x:v>
      </x:c>
      <x:c r="F333" s="14" t="str">
        <x:v>Tiruvannamalai</x:v>
      </x:c>
      <x:c r="G333" s="14" t="str">
        <x:v>Tiruvannamalai</x:v>
      </x:c>
      <x:c r="H333" s="14" t="str">
        <x:v>N.A.</x:v>
      </x:c>
      <x:c r="I333" s="15" t="n">
        <x:v>15</x:v>
      </x:c>
      <x:c r="J333" s="16" t="n">
        <x:v>1</x:v>
      </x:c>
      <x:c r="K333" s="15" t="n">
        <x:f>I333*J333</x:f>
        <x:v>15</x:v>
      </x:c>
      <x:c r="L333" s="20" t="str">
        <x:v>Dharani Sugars &amp; Chemical Ltd.</x:v>
      </x:c>
      <x:c r="M333" s="20" t="str">
        <x:v>District carried from original workbook</x:v>
      </x:c>
      <x:c r="N333" s="20" t="str"/>
      <x:c r="O333" s="20" t="str">
        <x:v>Existing</x:v>
      </x:c>
      <x:c r="P333" s="20" t="str">
        <x:v>No online correction applied because a single district was already provided.</x:v>
      </x:c>
    </x:row>
    <x:row r="334">
      <x:c r="A334" s="14" t="n">
        <x:v>232</x:v>
      </x:c>
      <x:c r="B334" s="14" t="str">
        <x:v>Bio Power</x:v>
      </x:c>
      <x:c r="C334" s="14" t="str">
        <x:v>operational</x:v>
      </x:c>
      <x:c r="D334" s="20" t="str">
        <x:v>Dharani Sugars &amp; Chemical Ltd. Tamil Nadu Viluppuram 22</x:v>
      </x:c>
      <x:c r="E334" s="14" t="str">
        <x:v>Tamil Nadu</x:v>
      </x:c>
      <x:c r="F334" s="14" t="str">
        <x:v>Viluppuram</x:v>
      </x:c>
      <x:c r="G334" s="14" t="str">
        <x:v>Viluppuram</x:v>
      </x:c>
      <x:c r="H334" s="14" t="str">
        <x:v>N.A.</x:v>
      </x:c>
      <x:c r="I334" s="15" t="n">
        <x:v>22</x:v>
      </x:c>
      <x:c r="J334" s="16" t="n">
        <x:v>1</x:v>
      </x:c>
      <x:c r="K334" s="15" t="n">
        <x:f>I334*J334</x:f>
        <x:v>22</x:v>
      </x:c>
      <x:c r="L334" s="20" t="str">
        <x:v>Dharani Sugars &amp; Chemical Ltd.</x:v>
      </x:c>
      <x:c r="M334" s="20" t="str">
        <x:v>District carried from original workbook</x:v>
      </x:c>
      <x:c r="N334" s="20" t="str"/>
      <x:c r="O334" s="20" t="str">
        <x:v>Existing</x:v>
      </x:c>
      <x:c r="P334" s="20" t="str">
        <x:v>No online correction applied because a single district was already provided.</x:v>
      </x:c>
    </x:row>
    <x:row r="335">
      <x:c r="A335" s="14" t="n">
        <x:v>233</x:v>
      </x:c>
      <x:c r="B335" s="14" t="str">
        <x:v>Bio Power</x:v>
      </x:c>
      <x:c r="C335" s="14" t="str">
        <x:v>operational</x:v>
      </x:c>
      <x:c r="D335" s="20" t="str">
        <x:v>EID Parry India Ltd. Tamil Nadu Cuddalore 24.5</x:v>
      </x:c>
      <x:c r="E335" s="14" t="str">
        <x:v>Tamil Nadu</x:v>
      </x:c>
      <x:c r="F335" s="14" t="str">
        <x:v>Cuddalore</x:v>
      </x:c>
      <x:c r="G335" s="14" t="str">
        <x:v>Cuddalore</x:v>
      </x:c>
      <x:c r="H335" s="14" t="str">
        <x:v>N.A.</x:v>
      </x:c>
      <x:c r="I335" s="15" t="n">
        <x:v>24.5</x:v>
      </x:c>
      <x:c r="J335" s="16" t="n">
        <x:v>1</x:v>
      </x:c>
      <x:c r="K335" s="15" t="n">
        <x:f>I335*J335</x:f>
        <x:v>24.5</x:v>
      </x:c>
      <x:c r="L335" s="20" t="str">
        <x:v>EID Parry India Ltd.</x:v>
      </x:c>
      <x:c r="M335" s="20" t="str">
        <x:v>District carried from original workbook</x:v>
      </x:c>
      <x:c r="N335" s="20" t="str"/>
      <x:c r="O335" s="20" t="str">
        <x:v>Existing</x:v>
      </x:c>
      <x:c r="P335" s="20" t="str">
        <x:v>No online correction applied because a single district was already provided.</x:v>
      </x:c>
    </x:row>
    <x:row r="336">
      <x:c r="A336" s="14" t="n">
        <x:v>234</x:v>
      </x:c>
      <x:c r="B336" s="14" t="str">
        <x:v>Bio Power</x:v>
      </x:c>
      <x:c r="C336" s="14" t="str">
        <x:v>operational</x:v>
      </x:c>
      <x:c r="D336" s="20" t="str">
        <x:v>EID Parry India Ltd. Tamil Nadu Karur 22</x:v>
      </x:c>
      <x:c r="E336" s="14" t="str">
        <x:v>Tamil Nadu</x:v>
      </x:c>
      <x:c r="F336" s="14" t="str">
        <x:v>Karur</x:v>
      </x:c>
      <x:c r="G336" s="14" t="str">
        <x:v>Karur</x:v>
      </x:c>
      <x:c r="H336" s="14" t="str">
        <x:v>N.A.</x:v>
      </x:c>
      <x:c r="I336" s="15" t="n">
        <x:v>22</x:v>
      </x:c>
      <x:c r="J336" s="16" t="n">
        <x:v>1</x:v>
      </x:c>
      <x:c r="K336" s="15" t="n">
        <x:f>I336*J336</x:f>
        <x:v>22</x:v>
      </x:c>
      <x:c r="L336" s="20" t="str">
        <x:v>EID Parry India Ltd.</x:v>
      </x:c>
      <x:c r="M336" s="20" t="str">
        <x:v>District carried from original workbook</x:v>
      </x:c>
      <x:c r="N336" s="20" t="str"/>
      <x:c r="O336" s="20" t="str">
        <x:v>Existing</x:v>
      </x:c>
      <x:c r="P336" s="20" t="str">
        <x:v>No online correction applied because a single district was already provided.</x:v>
      </x:c>
    </x:row>
    <x:row r="337">
      <x:c r="A337" s="14" t="n">
        <x:v>235</x:v>
      </x:c>
      <x:c r="B337" s="14" t="str">
        <x:v>Bio Power</x:v>
      </x:c>
      <x:c r="C337" s="14" t="str">
        <x:v>operational</x:v>
      </x:c>
      <x:c r="D337" s="20" t="str">
        <x:v>EID Parry India Ltd. Tamil Nadu Pudukkottai 18</x:v>
      </x:c>
      <x:c r="E337" s="14" t="str">
        <x:v>Tamil Nadu</x:v>
      </x:c>
      <x:c r="F337" s="14" t="str">
        <x:v>Pudukkottai</x:v>
      </x:c>
      <x:c r="G337" s="14" t="str">
        <x:v>Pudukkottai</x:v>
      </x:c>
      <x:c r="H337" s="14" t="str">
        <x:v>N.A.</x:v>
      </x:c>
      <x:c r="I337" s="15" t="n">
        <x:v>18</x:v>
      </x:c>
      <x:c r="J337" s="16" t="n">
        <x:v>1</x:v>
      </x:c>
      <x:c r="K337" s="15" t="n">
        <x:f>I337*J337</x:f>
        <x:v>18</x:v>
      </x:c>
      <x:c r="L337" s="20" t="str">
        <x:v>EID Parry India Ltd.</x:v>
      </x:c>
      <x:c r="M337" s="20" t="str">
        <x:v>District carried from original workbook</x:v>
      </x:c>
      <x:c r="N337" s="20" t="str"/>
      <x:c r="O337" s="20" t="str">
        <x:v>Existing</x:v>
      </x:c>
      <x:c r="P337" s="20" t="str">
        <x:v>No online correction applied because a single district was already provided.</x:v>
      </x:c>
    </x:row>
    <x:row r="338">
      <x:c r="A338" s="14" t="n">
        <x:v>236</x:v>
      </x:c>
      <x:c r="B338" s="14" t="str">
        <x:v>Bio Power</x:v>
      </x:c>
      <x:c r="C338" s="14" t="str">
        <x:v>operational</x:v>
      </x:c>
      <x:c r="D338" s="20" t="str">
        <x:v>EID Parry India Ltd. Tamil Nadu Tiruchirappalli 18</x:v>
      </x:c>
      <x:c r="E338" s="14" t="str">
        <x:v>Tamil Nadu</x:v>
      </x:c>
      <x:c r="F338" s="14" t="str">
        <x:v>Tiruchirappalli</x:v>
      </x:c>
      <x:c r="G338" s="14" t="str">
        <x:v>Tiruchirappalli</x:v>
      </x:c>
      <x:c r="H338" s="14" t="str">
        <x:v>N.A.</x:v>
      </x:c>
      <x:c r="I338" s="15" t="n">
        <x:v>18</x:v>
      </x:c>
      <x:c r="J338" s="16" t="n">
        <x:v>1</x:v>
      </x:c>
      <x:c r="K338" s="15" t="n">
        <x:f>I338*J338</x:f>
        <x:v>18</x:v>
      </x:c>
      <x:c r="L338" s="20" t="str">
        <x:v>EID Parry India Ltd.</x:v>
      </x:c>
      <x:c r="M338" s="20" t="str">
        <x:v>District carried from original workbook</x:v>
      </x:c>
      <x:c r="N338" s="20" t="str"/>
      <x:c r="O338" s="20" t="str">
        <x:v>Existing</x:v>
      </x:c>
      <x:c r="P338" s="20" t="str">
        <x:v>No online correction applied because a single district was already provided.</x:v>
      </x:c>
    </x:row>
    <x:row r="339">
      <x:c r="A339" s="14" t="n">
        <x:v>237</x:v>
      </x:c>
      <x:c r="B339" s="14" t="str">
        <x:v>Bio Power</x:v>
      </x:c>
      <x:c r="C339" s="14" t="str">
        <x:v>operational</x:v>
      </x:c>
      <x:c r="D339" s="20" t="str">
        <x:v>ETA Power Gen.Pvt.Ltd. Tamil Nadu Virudhunagar 10</x:v>
      </x:c>
      <x:c r="E339" s="14" t="str">
        <x:v>Tamil Nadu</x:v>
      </x:c>
      <x:c r="F339" s="14" t="str">
        <x:v>Virudhunagar</x:v>
      </x:c>
      <x:c r="G339" s="14" t="str">
        <x:v>Virudhunagar</x:v>
      </x:c>
      <x:c r="H339" s="14" t="str">
        <x:v>N.A.</x:v>
      </x:c>
      <x:c r="I339" s="15" t="n">
        <x:v>10</x:v>
      </x:c>
      <x:c r="J339" s="16" t="n">
        <x:v>1</x:v>
      </x:c>
      <x:c r="K339" s="15" t="n">
        <x:f>I339*J339</x:f>
        <x:v>10</x:v>
      </x:c>
      <x:c r="L339" s="20" t="str">
        <x:v>ETA Power Gen.Pvt.Ltd.</x:v>
      </x:c>
      <x:c r="M339" s="20" t="str">
        <x:v>District carried from original workbook</x:v>
      </x:c>
      <x:c r="N339" s="20" t="str"/>
      <x:c r="O339" s="20" t="str">
        <x:v>Existing</x:v>
      </x:c>
      <x:c r="P339" s="20" t="str">
        <x:v>No online correction applied because a single district was already provided.</x:v>
      </x:c>
    </x:row>
    <x:row r="340">
      <x:c r="A340" s="14" t="n">
        <x:v>238</x:v>
      </x:c>
      <x:c r="B340" s="14" t="str">
        <x:v>Bio Power</x:v>
      </x:c>
      <x:c r="C340" s="14" t="str">
        <x:v>operational</x:v>
      </x:c>
      <x:c r="D340" s="20" t="str">
        <x:v>Empee Distilleries (Pvt) Ltd. Tamil Nadu Pudukkottai 10</x:v>
      </x:c>
      <x:c r="E340" s="14" t="str">
        <x:v>Tamil Nadu</x:v>
      </x:c>
      <x:c r="F340" s="14" t="str">
        <x:v>Pudukkottai</x:v>
      </x:c>
      <x:c r="G340" s="14" t="str">
        <x:v>Pudukkottai</x:v>
      </x:c>
      <x:c r="H340" s="14" t="str">
        <x:v>N.A.</x:v>
      </x:c>
      <x:c r="I340" s="15" t="n">
        <x:v>10</x:v>
      </x:c>
      <x:c r="J340" s="16" t="n">
        <x:v>1</x:v>
      </x:c>
      <x:c r="K340" s="15" t="n">
        <x:f>I340*J340</x:f>
        <x:v>10</x:v>
      </x:c>
      <x:c r="L340" s="20" t="str">
        <x:v>Empee Distilleries (Pvt) Ltd.</x:v>
      </x:c>
      <x:c r="M340" s="20" t="str">
        <x:v>District carried from original workbook</x:v>
      </x:c>
      <x:c r="N340" s="20" t="str"/>
      <x:c r="O340" s="20" t="str">
        <x:v>Existing</x:v>
      </x:c>
      <x:c r="P340" s="20" t="str">
        <x:v>No online correction applied because a single district was already provided.</x:v>
      </x:c>
    </x:row>
    <x:row r="341">
      <x:c r="A341" s="14" t="n">
        <x:v>239</x:v>
      </x:c>
      <x:c r="B341" s="14" t="str">
        <x:v>Bio Power</x:v>
      </x:c>
      <x:c r="C341" s="14" t="str">
        <x:v>operational</x:v>
      </x:c>
      <x:c r="D341" s="20" t="str">
        <x:v>Empee Sugars &amp; Chemicals Ltd. Tamil Nadu Tirunelveli 50</x:v>
      </x:c>
      <x:c r="E341" s="14" t="str">
        <x:v>Tamil Nadu</x:v>
      </x:c>
      <x:c r="F341" s="14" t="str">
        <x:v>Tirunelveli</x:v>
      </x:c>
      <x:c r="G341" s="14" t="str">
        <x:v>Tirunelveli</x:v>
      </x:c>
      <x:c r="H341" s="14" t="str">
        <x:v>N.A.</x:v>
      </x:c>
      <x:c r="I341" s="15" t="n">
        <x:v>50</x:v>
      </x:c>
      <x:c r="J341" s="16" t="n">
        <x:v>1</x:v>
      </x:c>
      <x:c r="K341" s="15" t="n">
        <x:f>I341*J341</x:f>
        <x:v>50</x:v>
      </x:c>
      <x:c r="L341" s="20" t="str">
        <x:v>Empee Sugars &amp; Chemicals Ltd.</x:v>
      </x:c>
      <x:c r="M341" s="20" t="str">
        <x:v>District carried from original workbook</x:v>
      </x:c>
      <x:c r="N341" s="20" t="str"/>
      <x:c r="O341" s="20" t="str">
        <x:v>Existing</x:v>
      </x:c>
      <x:c r="P341" s="20" t="str">
        <x:v>No online correction applied because a single district was already provided.</x:v>
      </x:c>
    </x:row>
    <x:row r="342">
      <x:c r="A342" s="14" t="n">
        <x:v>240</x:v>
      </x:c>
      <x:c r="B342" s="14" t="str">
        <x:v>Bio Power</x:v>
      </x:c>
      <x:c r="C342" s="14" t="str">
        <x:v>operational</x:v>
      </x:c>
      <x:c r="D342" s="20" t="str">
        <x:v>G.K. Bio Energy Pvt. Ltd. Tamil Nadu Erode 1.5</x:v>
      </x:c>
      <x:c r="E342" s="14" t="str">
        <x:v>Tamil Nadu</x:v>
      </x:c>
      <x:c r="F342" s="14" t="str">
        <x:v>Erode</x:v>
      </x:c>
      <x:c r="G342" s="14" t="str">
        <x:v>Erode</x:v>
      </x:c>
      <x:c r="H342" s="14" t="str">
        <x:v>N.A.</x:v>
      </x:c>
      <x:c r="I342" s="15" t="n">
        <x:v>1.5</x:v>
      </x:c>
      <x:c r="J342" s="16" t="n">
        <x:v>1</x:v>
      </x:c>
      <x:c r="K342" s="15" t="n">
        <x:f>I342*J342</x:f>
        <x:v>1.5</x:v>
      </x:c>
      <x:c r="L342" s="20" t="str">
        <x:v>G.K. Bio Energy Pvt. Ltd.</x:v>
      </x:c>
      <x:c r="M342" s="20" t="str">
        <x:v>District carried from original workbook</x:v>
      </x:c>
      <x:c r="N342" s="20" t="str"/>
      <x:c r="O342" s="20" t="str">
        <x:v>Existing</x:v>
      </x:c>
      <x:c r="P342" s="20" t="str">
        <x:v>No online correction applied because a single district was already provided.</x:v>
      </x:c>
    </x:row>
    <x:row r="343">
      <x:c r="A343" s="14" t="n">
        <x:v>241</x:v>
      </x:c>
      <x:c r="B343" s="14" t="str">
        <x:v>Bio Power</x:v>
      </x:c>
      <x:c r="C343" s="14" t="str">
        <x:v>operational</x:v>
      </x:c>
      <x:c r="D343" s="20" t="str">
        <x:v>Global Power Tech. Equipments Pvt.Ltd. Tamil Nadu Tiruvannamalai 7.5</x:v>
      </x:c>
      <x:c r="E343" s="14" t="str">
        <x:v>Tamil Nadu</x:v>
      </x:c>
      <x:c r="F343" s="14" t="str">
        <x:v>Tiruvannamalai</x:v>
      </x:c>
      <x:c r="G343" s="14" t="str">
        <x:v>Tiruvannamalai</x:v>
      </x:c>
      <x:c r="H343" s="14" t="str">
        <x:v>N.A.</x:v>
      </x:c>
      <x:c r="I343" s="15" t="n">
        <x:v>7.5</x:v>
      </x:c>
      <x:c r="J343" s="16" t="n">
        <x:v>1</x:v>
      </x:c>
      <x:c r="K343" s="15" t="n">
        <x:f>I343*J343</x:f>
        <x:v>7.5</x:v>
      </x:c>
      <x:c r="L343" s="20" t="str">
        <x:v>Global Power Tech. Equipments Pvt.Ltd.</x:v>
      </x:c>
      <x:c r="M343" s="20" t="str">
        <x:v>District carried from original workbook</x:v>
      </x:c>
      <x:c r="N343" s="20" t="str"/>
      <x:c r="O343" s="20" t="str">
        <x:v>Existing</x:v>
      </x:c>
      <x:c r="P343" s="20" t="str">
        <x:v>No online correction applied because a single district was already provided.</x:v>
      </x:c>
    </x:row>
    <x:row r="344">
      <x:c r="A344" s="14" t="n">
        <x:v>242</x:v>
      </x:c>
      <x:c r="B344" s="14" t="str">
        <x:v>Bio Power</x:v>
      </x:c>
      <x:c r="C344" s="14" t="str">
        <x:v>operational</x:v>
      </x:c>
      <x:c r="D344" s="20" t="str">
        <x:v>IOT Mabagas Ltd. Tamil Nadu N.A. 2</x:v>
      </x:c>
      <x:c r="E344" s="14" t="str">
        <x:v>Tamil Nadu</x:v>
      </x:c>
      <x:c r="F344" s="14" t="str">
        <x:v>N.A.</x:v>
      </x:c>
      <x:c r="G344" s="14" t="str">
        <x:v>Namakkal</x:v>
      </x:c>
      <x:c r="H344" s="14" t="str">
        <x:v>N.A.</x:v>
      </x:c>
      <x:c r="I344" s="15" t="n">
        <x:v>2</x:v>
      </x:c>
      <x:c r="J344" s="16" t="n">
        <x:v>1</x:v>
      </x:c>
      <x:c r="K344" s="15" t="n">
        <x:f>I344*J344</x:f>
        <x:v>2</x:v>
      </x:c>
      <x:c r="L344" s="20" t="str">
        <x:v>IOT Mabagas Ltd.</x:v>
      </x:c>
      <x:c r="M344" s="20" t="str">
        <x:v>Direct facility match in CEA plant-wise renewable-energy report</x:v>
      </x:c>
      <x:c r="N344" s="20" t="str">
        <x:v>https://cea.nic.in/wp-content/uploads/resd/2023/09/August_Plantwise_Details_2022.pdf</x:v>
      </x:c>
      <x:c r="O344" s="20" t="str">
        <x:v>High</x:v>
      </x:c>
      <x:c r="P344" s="20" t="str">
        <x:v>CEA lists IOT MABAGAS / IOT Biogas in Namakkal (reported capacity 2.40 MW; workbook row is 2 MW).</x:v>
      </x:c>
    </x:row>
    <x:row r="345">
      <x:c r="A345" s="14" t="n">
        <x:v>243</x:v>
      </x:c>
      <x:c r="B345" s="14" t="str">
        <x:v>Bio Power</x:v>
      </x:c>
      <x:c r="C345" s="14" t="str">
        <x:v>operational</x:v>
      </x:c>
      <x:c r="D345" s="20" t="str">
        <x:v>Kothari Sugars &amp; Chemicals Ltd. Tamil Nadu Perambalur 12</x:v>
      </x:c>
      <x:c r="E345" s="14" t="str">
        <x:v>Tamil Nadu</x:v>
      </x:c>
      <x:c r="F345" s="14" t="str">
        <x:v>Perambalur</x:v>
      </x:c>
      <x:c r="G345" s="14" t="str">
        <x:v>Perambalur</x:v>
      </x:c>
      <x:c r="H345" s="14" t="str">
        <x:v>N.A.</x:v>
      </x:c>
      <x:c r="I345" s="15" t="n">
        <x:v>12</x:v>
      </x:c>
      <x:c r="J345" s="16" t="n">
        <x:v>1</x:v>
      </x:c>
      <x:c r="K345" s="15" t="n">
        <x:f>I345*J345</x:f>
        <x:v>12</x:v>
      </x:c>
      <x:c r="L345" s="20" t="str">
        <x:v>Kothari Sugars &amp; Chemicals Ltd.</x:v>
      </x:c>
      <x:c r="M345" s="20" t="str">
        <x:v>District carried from original workbook</x:v>
      </x:c>
      <x:c r="N345" s="20" t="str"/>
      <x:c r="O345" s="20" t="str">
        <x:v>Existing</x:v>
      </x:c>
      <x:c r="P345" s="20" t="str">
        <x:v>No online correction applied because a single district was already provided.</x:v>
      </x:c>
    </x:row>
    <x:row r="346">
      <x:c r="A346" s="14" t="n">
        <x:v>244</x:v>
      </x:c>
      <x:c r="B346" s="14" t="str">
        <x:v>Bio Power</x:v>
      </x:c>
      <x:c r="C346" s="14" t="str">
        <x:v>operational</x:v>
      </x:c>
      <x:c r="D346" s="20" t="str">
        <x:v>Kothari Sugars &amp; Chemicals Ltd. Tamil Nadu Perambalur 22</x:v>
      </x:c>
      <x:c r="E346" s="14" t="str">
        <x:v>Tamil Nadu</x:v>
      </x:c>
      <x:c r="F346" s="14" t="str">
        <x:v>Perambalur</x:v>
      </x:c>
      <x:c r="G346" s="14" t="str">
        <x:v>Perambalur</x:v>
      </x:c>
      <x:c r="H346" s="14" t="str">
        <x:v>N.A.</x:v>
      </x:c>
      <x:c r="I346" s="15" t="n">
        <x:v>22</x:v>
      </x:c>
      <x:c r="J346" s="16" t="n">
        <x:v>1</x:v>
      </x:c>
      <x:c r="K346" s="15" t="n">
        <x:f>I346*J346</x:f>
        <x:v>22</x:v>
      </x:c>
      <x:c r="L346" s="20" t="str">
        <x:v>Kothari Sugars &amp; Chemicals Ltd.</x:v>
      </x:c>
      <x:c r="M346" s="20" t="str">
        <x:v>District carried from original workbook</x:v>
      </x:c>
      <x:c r="N346" s="20" t="str"/>
      <x:c r="O346" s="20" t="str">
        <x:v>Existing</x:v>
      </x:c>
      <x:c r="P346" s="20" t="str">
        <x:v>No online correction applied because a single district was already provided.</x:v>
      </x:c>
    </x:row>
    <x:row r="347">
      <x:c r="A347" s="14" t="n">
        <x:v>245</x:v>
      </x:c>
      <x:c r="B347" s="14" t="str">
        <x:v>Bio Power</x:v>
      </x:c>
      <x:c r="C347" s="14" t="str">
        <x:v>operational</x:v>
      </x:c>
      <x:c r="D347" s="20" t="str">
        <x:v>M.R.K.Co.op Sugar Mills Tamil Nadu Cuddalore 7.5</x:v>
      </x:c>
      <x:c r="E347" s="14" t="str">
        <x:v>Tamil Nadu</x:v>
      </x:c>
      <x:c r="F347" s="14" t="str">
        <x:v>Cuddalore</x:v>
      </x:c>
      <x:c r="G347" s="14" t="str">
        <x:v>Cuddalore</x:v>
      </x:c>
      <x:c r="H347" s="14" t="str">
        <x:v>N.A.</x:v>
      </x:c>
      <x:c r="I347" s="15" t="n">
        <x:v>7.5</x:v>
      </x:c>
      <x:c r="J347" s="16" t="n">
        <x:v>1</x:v>
      </x:c>
      <x:c r="K347" s="15" t="n">
        <x:f>I347*J347</x:f>
        <x:v>7.5</x:v>
      </x:c>
      <x:c r="L347" s="20" t="str">
        <x:v>M.R.K.Co.op Sugar Mills</x:v>
      </x:c>
      <x:c r="M347" s="20" t="str">
        <x:v>District carried from original workbook</x:v>
      </x:c>
      <x:c r="N347" s="20" t="str"/>
      <x:c r="O347" s="20" t="str">
        <x:v>Existing</x:v>
      </x:c>
      <x:c r="P347" s="20" t="str">
        <x:v>No online correction applied because a single district was already provided.</x:v>
      </x:c>
    </x:row>
    <x:row r="348">
      <x:c r="A348" s="14" t="n">
        <x:v>246</x:v>
      </x:c>
      <x:c r="B348" s="14" t="str">
        <x:v>Bio Power</x:v>
      </x:c>
      <x:c r="C348" s="14" t="str">
        <x:v>operational</x:v>
      </x:c>
      <x:c r="D348" s="20" t="str">
        <x:v>Madras Sugars &amp; Chemicals Ltd. Tamil Nadu Tirunelveli 25</x:v>
      </x:c>
      <x:c r="E348" s="14" t="str">
        <x:v>Tamil Nadu</x:v>
      </x:c>
      <x:c r="F348" s="14" t="str">
        <x:v>Tirunelveli</x:v>
      </x:c>
      <x:c r="G348" s="14" t="str">
        <x:v>Tirunelveli</x:v>
      </x:c>
      <x:c r="H348" s="14" t="str">
        <x:v>N.A.</x:v>
      </x:c>
      <x:c r="I348" s="15" t="n">
        <x:v>25</x:v>
      </x:c>
      <x:c r="J348" s="16" t="n">
        <x:v>1</x:v>
      </x:c>
      <x:c r="K348" s="15" t="n">
        <x:f>I348*J348</x:f>
        <x:v>25</x:v>
      </x:c>
      <x:c r="L348" s="20" t="str">
        <x:v>Madras Sugars &amp; Chemicals Ltd.</x:v>
      </x:c>
      <x:c r="M348" s="20" t="str">
        <x:v>District carried from original workbook</x:v>
      </x:c>
      <x:c r="N348" s="20" t="str"/>
      <x:c r="O348" s="20" t="str">
        <x:v>Existing</x:v>
      </x:c>
      <x:c r="P348" s="20" t="str">
        <x:v>No online correction applied because a single district was already provided.</x:v>
      </x:c>
    </x:row>
    <x:row r="349">
      <x:c r="A349" s="14" t="n">
        <x:v>247</x:v>
      </x:c>
      <x:c r="B349" s="14" t="str">
        <x:v>Bio Power</x:v>
      </x:c>
      <x:c r="C349" s="14" t="str">
        <x:v>operational</x:v>
      </x:c>
      <x:c r="D349" s="20" t="str">
        <x:v>Manali Petrochemicals Ltd. Tamil Nadu Thiruvallur 4.7</x:v>
      </x:c>
      <x:c r="E349" s="14" t="str">
        <x:v>Tamil Nadu</x:v>
      </x:c>
      <x:c r="F349" s="14" t="str">
        <x:v>Thiruvallur</x:v>
      </x:c>
      <x:c r="G349" s="14" t="str">
        <x:v>Tiruvallur</x:v>
      </x:c>
      <x:c r="H349" s="14" t="str">
        <x:v>N.A.</x:v>
      </x:c>
      <x:c r="I349" s="15" t="n">
        <x:v>4.7</x:v>
      </x:c>
      <x:c r="J349" s="16" t="n">
        <x:v>1</x:v>
      </x:c>
      <x:c r="K349" s="15" t="n">
        <x:f>I349*J349</x:f>
        <x:v>4.7</x:v>
      </x:c>
      <x:c r="L349" s="20" t="str">
        <x:v>Manali Petrochemicals Ltd.</x:v>
      </x:c>
      <x:c r="M349" s="20" t="str">
        <x:v>District carried from original workbook</x:v>
      </x:c>
      <x:c r="N349" s="20" t="str"/>
      <x:c r="O349" s="20" t="str">
        <x:v>Existing</x:v>
      </x:c>
      <x:c r="P349" s="20" t="str">
        <x:v>No online correction applied because a single district was already provided.</x:v>
      </x:c>
    </x:row>
    <x:row r="350">
      <x:c r="A350" s="14" t="n">
        <x:v>248</x:v>
      </x:c>
      <x:c r="B350" s="14" t="str">
        <x:v>Bio Power</x:v>
      </x:c>
      <x:c r="C350" s="14" t="str">
        <x:v>operational</x:v>
      </x:c>
      <x:c r="D350" s="20" t="str">
        <x:v>Mohan Breweries &amp; Distillaries Ltd Tamil Nadu Kancheepuram 18</x:v>
      </x:c>
      <x:c r="E350" s="14" t="str">
        <x:v>Tamil Nadu</x:v>
      </x:c>
      <x:c r="F350" s="14" t="str">
        <x:v>Kancheepuram</x:v>
      </x:c>
      <x:c r="G350" s="14" t="str">
        <x:v>Kanchipuram</x:v>
      </x:c>
      <x:c r="H350" s="14" t="str">
        <x:v>N.A.</x:v>
      </x:c>
      <x:c r="I350" s="15" t="n">
        <x:v>18</x:v>
      </x:c>
      <x:c r="J350" s="16" t="n">
        <x:v>1</x:v>
      </x:c>
      <x:c r="K350" s="15" t="n">
        <x:f>I350*J350</x:f>
        <x:v>18</x:v>
      </x:c>
      <x:c r="L350" s="20" t="str">
        <x:v>Mohan Breweries &amp; Distillaries Ltd</x:v>
      </x:c>
      <x:c r="M350" s="20" t="str">
        <x:v>District carried from original workbook</x:v>
      </x:c>
      <x:c r="N350" s="20" t="str"/>
      <x:c r="O350" s="20" t="str">
        <x:v>Existing</x:v>
      </x:c>
      <x:c r="P350" s="20" t="str">
        <x:v>No online correction applied because a single district was already provided.</x:v>
      </x:c>
    </x:row>
    <x:row r="351">
      <x:c r="A351" s="14" t="n">
        <x:v>249</x:v>
      </x:c>
      <x:c r="B351" s="14" t="str">
        <x:v>Bio Power</x:v>
      </x:c>
      <x:c r="C351" s="14" t="str">
        <x:v>operational</x:v>
      </x:c>
      <x:c r="D351" s="20" t="str">
        <x:v>Orient Green Power Ltd. Tamil Nadu Coimbatore 10</x:v>
      </x:c>
      <x:c r="E351" s="14" t="str">
        <x:v>Tamil Nadu</x:v>
      </x:c>
      <x:c r="F351" s="14" t="str">
        <x:v>Coimbatore</x:v>
      </x:c>
      <x:c r="G351" s="14" t="str">
        <x:v>Coimbatore</x:v>
      </x:c>
      <x:c r="H351" s="14" t="str">
        <x:v>N.A.</x:v>
      </x:c>
      <x:c r="I351" s="15" t="n">
        <x:v>10</x:v>
      </x:c>
      <x:c r="J351" s="16" t="n">
        <x:v>1</x:v>
      </x:c>
      <x:c r="K351" s="15" t="n">
        <x:f>I351*J351</x:f>
        <x:v>10</x:v>
      </x:c>
      <x:c r="L351" s="20" t="str">
        <x:v>Orient Green Power Ltd.</x:v>
      </x:c>
      <x:c r="M351" s="20" t="str">
        <x:v>District carried from original workbook</x:v>
      </x:c>
      <x:c r="N351" s="20" t="str"/>
      <x:c r="O351" s="20" t="str">
        <x:v>Existing</x:v>
      </x:c>
      <x:c r="P351" s="20" t="str">
        <x:v>No online correction applied because a single district was already provided.</x:v>
      </x:c>
    </x:row>
    <x:row r="352">
      <x:c r="A352" s="14" t="n">
        <x:v>250</x:v>
      </x:c>
      <x:c r="B352" s="14" t="str">
        <x:v>Bio Power</x:v>
      </x:c>
      <x:c r="C352" s="14" t="str">
        <x:v>operational</x:v>
      </x:c>
      <x:c r="D352" s="20" t="str">
        <x:v>Others (districts not specified) (Waste to Energy) Tamil Nadu N.A. 6.4</x:v>
      </x:c>
      <x:c r="E352" s="14" t="str">
        <x:v>Tamil Nadu</x:v>
      </x:c>
      <x:c r="F352" s="14" t="str">
        <x:v>N.A.</x:v>
      </x:c>
      <x:c r="G352" s="14" t="str">
        <x:v>Chennai</x:v>
      </x:c>
      <x:c r="H352" s="14" t="str">
        <x:v>N.A.</x:v>
      </x:c>
      <x:c r="I352" s="15" t="n">
        <x:v>6.4</x:v>
      </x:c>
      <x:c r="J352" s="16" t="n">
        <x:v>0.0003023340186237755</x:v>
      </x:c>
      <x:c r="K352" s="15" t="n">
        <x:f>I352*J352</x:f>
        <x:v>0.0019349377191921634</x:v>
      </x:c>
      <x:c r="L352" s="20" t="str">
        <x:v>Others (districts not specified) (Waste to Energy)</x:v>
      </x:c>
      <x:c r="M352" s="20" t="str">
        <x:v>Proportional proxy using known Bio Power capacity by district in PlantInfo</x:v>
      </x:c>
      <x:c r="N352" s="20" t="str">
        <x:v>https://mnre.gov.in/en/physical-progress/</x:v>
      </x:c>
      <x:c r="O352" s="20" t="str">
        <x:v>Low</x:v>
      </x:c>
      <x:c r="P352" s="20" t="str">
        <x:v>This is a statewide/residual category, not a plant-level record. The allocation preserves the row total but is an analytical proxy, not an observed facility location.</x:v>
      </x:c>
    </x:row>
    <x:row r="353">
      <x:c r="A353" s="14" t="n">
        <x:v>250</x:v>
      </x:c>
      <x:c r="B353" s="14" t="str">
        <x:v>Bio Power</x:v>
      </x:c>
      <x:c r="C353" s="14" t="str">
        <x:v>operational</x:v>
      </x:c>
      <x:c r="D353" s="20" t="str">
        <x:v>Others (districts not specified) (Waste to Energy) Tamil Nadu N.A. 6.4</x:v>
      </x:c>
      <x:c r="E353" s="14" t="str">
        <x:v>Tamil Nadu</x:v>
      </x:c>
      <x:c r="F353" s="14" t="str">
        <x:v>N.A.</x:v>
      </x:c>
      <x:c r="G353" s="14" t="str">
        <x:v>Coimbatore</x:v>
      </x:c>
      <x:c r="H353" s="14" t="str">
        <x:v>N.A.</x:v>
      </x:c>
      <x:c r="I353" s="15" t="n">
        <x:v>6.4</x:v>
      </x:c>
      <x:c r="J353" s="16" t="n">
        <x:v>0.014028298464143184</x:v>
      </x:c>
      <x:c r="K353" s="15" t="n">
        <x:f>I353*J353</x:f>
        <x:v>0.08978111017051638</x:v>
      </x:c>
      <x:c r="L353" s="20" t="str">
        <x:v>Others (districts not specified) (Waste to Energy)</x:v>
      </x:c>
      <x:c r="M353" s="20" t="str">
        <x:v>Proportional proxy using known Bio Power capacity by district in PlantInfo</x:v>
      </x:c>
      <x:c r="N353" s="20" t="str">
        <x:v>https://mnre.gov.in/en/physical-progress/</x:v>
      </x:c>
      <x:c r="O353" s="20" t="str">
        <x:v>Low</x:v>
      </x:c>
      <x:c r="P353" s="20" t="str">
        <x:v>This is a statewide/residual category, not a plant-level record. The allocation preserves the row total but is an analytical proxy, not an observed facility location.</x:v>
      </x:c>
    </x:row>
    <x:row r="354">
      <x:c r="A354" s="14" t="n">
        <x:v>250</x:v>
      </x:c>
      <x:c r="B354" s="14" t="str">
        <x:v>Bio Power</x:v>
      </x:c>
      <x:c r="C354" s="14" t="str">
        <x:v>operational</x:v>
      </x:c>
      <x:c r="D354" s="20" t="str">
        <x:v>Others (districts not specified) (Waste to Energy) Tamil Nadu N.A. 6.4</x:v>
      </x:c>
      <x:c r="E354" s="14" t="str">
        <x:v>Tamil Nadu</x:v>
      </x:c>
      <x:c r="F354" s="14" t="str">
        <x:v>N.A.</x:v>
      </x:c>
      <x:c r="G354" s="14" t="str">
        <x:v>Cuddalore</x:v>
      </x:c>
      <x:c r="H354" s="14" t="str">
        <x:v>N.A.</x:v>
      </x:c>
      <x:c r="I354" s="15" t="n">
        <x:v>6.4</x:v>
      </x:c>
      <x:c r="J354" s="16" t="n">
        <x:v>0.10966259523521586</x:v>
      </x:c>
      <x:c r="K354" s="15" t="n">
        <x:f>I354*J354</x:f>
        <x:v>0.7018406095053815</x:v>
      </x:c>
      <x:c r="L354" s="20" t="str">
        <x:v>Others (districts not specified) (Waste to Energy)</x:v>
      </x:c>
      <x:c r="M354" s="20" t="str">
        <x:v>Proportional proxy using known Bio Power capacity by district in PlantInfo</x:v>
      </x:c>
      <x:c r="N354" s="20" t="str">
        <x:v>https://mnre.gov.in/en/physical-progress/</x:v>
      </x:c>
      <x:c r="O354" s="20" t="str">
        <x:v>Low</x:v>
      </x:c>
      <x:c r="P354" s="20" t="str">
        <x:v>This is a statewide/residual category, not a plant-level record. The allocation preserves the row total but is an analytical proxy, not an observed facility location.</x:v>
      </x:c>
    </x:row>
    <x:row r="355">
      <x:c r="A355" s="14" t="n">
        <x:v>250</x:v>
      </x:c>
      <x:c r="B355" s="14" t="str">
        <x:v>Bio Power</x:v>
      </x:c>
      <x:c r="C355" s="14" t="str">
        <x:v>operational</x:v>
      </x:c>
      <x:c r="D355" s="20" t="str">
        <x:v>Others (districts not specified) (Waste to Energy) Tamil Nadu N.A. 6.4</x:v>
      </x:c>
      <x:c r="E355" s="14" t="str">
        <x:v>Tamil Nadu</x:v>
      </x:c>
      <x:c r="F355" s="14" t="str">
        <x:v>N.A.</x:v>
      </x:c>
      <x:c r="G355" s="14" t="str">
        <x:v>Dharmapuri</x:v>
      </x:c>
      <x:c r="H355" s="14" t="str">
        <x:v>N.A.</x:v>
      </x:c>
      <x:c r="I355" s="15" t="n">
        <x:v>6.4</x:v>
      </x:c>
      <x:c r="J355" s="16" t="n">
        <x:v>0.01814004111742653</x:v>
      </x:c>
      <x:c r="K355" s="15" t="n">
        <x:f>I355*J355</x:f>
        <x:v>0.1160962631515298</x:v>
      </x:c>
      <x:c r="L355" s="20" t="str">
        <x:v>Others (districts not specified) (Waste to Energy)</x:v>
      </x:c>
      <x:c r="M355" s="20" t="str">
        <x:v>Proportional proxy using known Bio Power capacity by district in PlantInfo</x:v>
      </x:c>
      <x:c r="N355" s="20" t="str">
        <x:v>https://mnre.gov.in/en/physical-progress/</x:v>
      </x:c>
      <x:c r="O355" s="20" t="str">
        <x:v>Low</x:v>
      </x:c>
      <x:c r="P355" s="20" t="str">
        <x:v>This is a statewide/residual category, not a plant-level record. The allocation preserves the row total but is an analytical proxy, not an observed facility location.</x:v>
      </x:c>
    </x:row>
    <x:row r="356">
      <x:c r="A356" s="14" t="n">
        <x:v>250</x:v>
      </x:c>
      <x:c r="B356" s="14" t="str">
        <x:v>Bio Power</x:v>
      </x:c>
      <x:c r="C356" s="14" t="str">
        <x:v>operational</x:v>
      </x:c>
      <x:c r="D356" s="20" t="str">
        <x:v>Others (districts not specified) (Waste to Energy) Tamil Nadu N.A. 6.4</x:v>
      </x:c>
      <x:c r="E356" s="14" t="str">
        <x:v>Tamil Nadu</x:v>
      </x:c>
      <x:c r="F356" s="14" t="str">
        <x:v>N.A.</x:v>
      </x:c>
      <x:c r="G356" s="14" t="str">
        <x:v>Dindigul</x:v>
      </x:c>
      <x:c r="H356" s="14" t="str">
        <x:v>N.A.</x:v>
      </x:c>
      <x:c r="I356" s="15" t="n">
        <x:v>6.4</x:v>
      </x:c>
      <x:c r="J356" s="16" t="n">
        <x:v>0.009070020558713265</x:v>
      </x:c>
      <x:c r="K356" s="15" t="n">
        <x:f>I356*J356</x:f>
        <x:v>0.0580481315757649</x:v>
      </x:c>
      <x:c r="L356" s="20" t="str">
        <x:v>Others (districts not specified) (Waste to Energy)</x:v>
      </x:c>
      <x:c r="M356" s="20" t="str">
        <x:v>Proportional proxy using known Bio Power capacity by district in PlantInfo</x:v>
      </x:c>
      <x:c r="N356" s="20" t="str">
        <x:v>https://mnre.gov.in/en/physical-progress/</x:v>
      </x:c>
      <x:c r="O356" s="20" t="str">
        <x:v>Low</x:v>
      </x:c>
      <x:c r="P356" s="20" t="str">
        <x:v>This is a statewide/residual category, not a plant-level record. The allocation preserves the row total but is an analytical proxy, not an observed facility location.</x:v>
      </x:c>
    </x:row>
    <x:row r="357">
      <x:c r="A357" s="14" t="n">
        <x:v>250</x:v>
      </x:c>
      <x:c r="B357" s="14" t="str">
        <x:v>Bio Power</x:v>
      </x:c>
      <x:c r="C357" s="14" t="str">
        <x:v>operational</x:v>
      </x:c>
      <x:c r="D357" s="20" t="str">
        <x:v>Others (districts not specified) (Waste to Energy) Tamil Nadu N.A. 6.4</x:v>
      </x:c>
      <x:c r="E357" s="14" t="str">
        <x:v>Tamil Nadu</x:v>
      </x:c>
      <x:c r="F357" s="14" t="str">
        <x:v>N.A.</x:v>
      </x:c>
      <x:c r="G357" s="14" t="str">
        <x:v>Erode</x:v>
      </x:c>
      <x:c r="H357" s="14" t="str">
        <x:v>N.A.</x:v>
      </x:c>
      <x:c r="I357" s="15" t="n">
        <x:v>6.4</x:v>
      </x:c>
      <x:c r="J357" s="16" t="n">
        <x:v>0.1173055992260249</x:v>
      </x:c>
      <x:c r="K357" s="15" t="n">
        <x:f>I357*J357</x:f>
        <x:v>0.7507558350465594</x:v>
      </x:c>
      <x:c r="L357" s="20" t="str">
        <x:v>Others (districts not specified) (Waste to Energy)</x:v>
      </x:c>
      <x:c r="M357" s="20" t="str">
        <x:v>Proportional proxy using known Bio Power capacity by district in PlantInfo</x:v>
      </x:c>
      <x:c r="N357" s="20" t="str">
        <x:v>https://mnre.gov.in/en/physical-progress/</x:v>
      </x:c>
      <x:c r="O357" s="20" t="str">
        <x:v>Low</x:v>
      </x:c>
      <x:c r="P357" s="20" t="str">
        <x:v>This is a statewide/residual category, not a plant-level record. The allocation preserves the row total but is an analytical proxy, not an observed facility location.</x:v>
      </x:c>
    </x:row>
    <x:row r="358">
      <x:c r="A358" s="14" t="n">
        <x:v>250</x:v>
      </x:c>
      <x:c r="B358" s="14" t="str">
        <x:v>Bio Power</x:v>
      </x:c>
      <x:c r="C358" s="14" t="str">
        <x:v>operational</x:v>
      </x:c>
      <x:c r="D358" s="20" t="str">
        <x:v>Others (districts not specified) (Waste to Energy) Tamil Nadu N.A. 6.4</x:v>
      </x:c>
      <x:c r="E358" s="14" t="str">
        <x:v>Tamil Nadu</x:v>
      </x:c>
      <x:c r="F358" s="14" t="str">
        <x:v>N.A.</x:v>
      </x:c>
      <x:c r="G358" s="14" t="str">
        <x:v>Kanchipuram</x:v>
      </x:c>
      <x:c r="H358" s="14" t="str">
        <x:v>N.A.</x:v>
      </x:c>
      <x:c r="I358" s="15" t="n">
        <x:v>6.4</x:v>
      </x:c>
      <x:c r="J358" s="16" t="n">
        <x:v>0.07618817269319143</x:v>
      </x:c>
      <x:c r="K358" s="15" t="n">
        <x:f>I358*J358</x:f>
        <x:v>0.4876043052364252</x:v>
      </x:c>
      <x:c r="L358" s="20" t="str">
        <x:v>Others (districts not specified) (Waste to Energy)</x:v>
      </x:c>
      <x:c r="M358" s="20" t="str">
        <x:v>Proportional proxy using known Bio Power capacity by district in PlantInfo</x:v>
      </x:c>
      <x:c r="N358" s="20" t="str">
        <x:v>https://mnre.gov.in/en/physical-progress/</x:v>
      </x:c>
      <x:c r="O358" s="20" t="str">
        <x:v>Low</x:v>
      </x:c>
      <x:c r="P358" s="20" t="str">
        <x:v>This is a statewide/residual category, not a plant-level record. The allocation preserves the row total but is an analytical proxy, not an observed facility location.</x:v>
      </x:c>
    </x:row>
    <x:row r="359">
      <x:c r="A359" s="14" t="n">
        <x:v>250</x:v>
      </x:c>
      <x:c r="B359" s="14" t="str">
        <x:v>Bio Power</x:v>
      </x:c>
      <x:c r="C359" s="14" t="str">
        <x:v>operational</x:v>
      </x:c>
      <x:c r="D359" s="20" t="str">
        <x:v>Others (districts not specified) (Waste to Energy) Tamil Nadu N.A. 6.4</x:v>
      </x:c>
      <x:c r="E359" s="14" t="str">
        <x:v>Tamil Nadu</x:v>
      </x:c>
      <x:c r="F359" s="14" t="str">
        <x:v>N.A.</x:v>
      </x:c>
      <x:c r="G359" s="14" t="str">
        <x:v>Karur</x:v>
      </x:c>
      <x:c r="H359" s="14" t="str">
        <x:v>N.A.</x:v>
      </x:c>
      <x:c r="I359" s="15" t="n">
        <x:v>6.4</x:v>
      </x:c>
      <x:c r="J359" s="16" t="n">
        <x:v>0.026605393638892246</x:v>
      </x:c>
      <x:c r="K359" s="15" t="n">
        <x:f>I359*J359</x:f>
        <x:v>0.17027451928891038</x:v>
      </x:c>
      <x:c r="L359" s="20" t="str">
        <x:v>Others (districts not specified) (Waste to Energy)</x:v>
      </x:c>
      <x:c r="M359" s="20" t="str">
        <x:v>Proportional proxy using known Bio Power capacity by district in PlantInfo</x:v>
      </x:c>
      <x:c r="N359" s="20" t="str">
        <x:v>https://mnre.gov.in/en/physical-progress/</x:v>
      </x:c>
      <x:c r="O359" s="20" t="str">
        <x:v>Low</x:v>
      </x:c>
      <x:c r="P359" s="20" t="str">
        <x:v>This is a statewide/residual category, not a plant-level record. The allocation preserves the row total but is an analytical proxy, not an observed facility location.</x:v>
      </x:c>
    </x:row>
    <x:row r="360">
      <x:c r="A360" s="14" t="n">
        <x:v>250</x:v>
      </x:c>
      <x:c r="B360" s="14" t="str">
        <x:v>Bio Power</x:v>
      </x:c>
      <x:c r="C360" s="14" t="str">
        <x:v>operational</x:v>
      </x:c>
      <x:c r="D360" s="20" t="str">
        <x:v>Others (districts not specified) (Waste to Energy) Tamil Nadu N.A. 6.4</x:v>
      </x:c>
      <x:c r="E360" s="14" t="str">
        <x:v>Tamil Nadu</x:v>
      </x:c>
      <x:c r="F360" s="14" t="str">
        <x:v>N.A.</x:v>
      </x:c>
      <x:c r="G360" s="14" t="str">
        <x:v>Madurai</x:v>
      </x:c>
      <x:c r="H360" s="14" t="str">
        <x:v>N.A.</x:v>
      </x:c>
      <x:c r="I360" s="15" t="n">
        <x:v>6.4</x:v>
      </x:c>
      <x:c r="J360" s="16" t="n">
        <x:v>0.01209336074495102</x:v>
      </x:c>
      <x:c r="K360" s="15" t="n">
        <x:f>I360*J360</x:f>
        <x:v>0.07739750876768653</x:v>
      </x:c>
      <x:c r="L360" s="20" t="str">
        <x:v>Others (districts not specified) (Waste to Energy)</x:v>
      </x:c>
      <x:c r="M360" s="20" t="str">
        <x:v>Proportional proxy using known Bio Power capacity by district in PlantInfo</x:v>
      </x:c>
      <x:c r="N360" s="20" t="str">
        <x:v>https://mnre.gov.in/en/physical-progress/</x:v>
      </x:c>
      <x:c r="O360" s="20" t="str">
        <x:v>Low</x:v>
      </x:c>
      <x:c r="P360" s="20" t="str">
        <x:v>This is a statewide/residual category, not a plant-level record. The allocation preserves the row total but is an analytical proxy, not an observed facility location.</x:v>
      </x:c>
    </x:row>
    <x:row r="361">
      <x:c r="A361" s="14" t="n">
        <x:v>250</x:v>
      </x:c>
      <x:c r="B361" s="14" t="str">
        <x:v>Bio Power</x:v>
      </x:c>
      <x:c r="C361" s="14" t="str">
        <x:v>operational</x:v>
      </x:c>
      <x:c r="D361" s="20" t="str">
        <x:v>Others (districts not specified) (Waste to Energy) Tamil Nadu N.A. 6.4</x:v>
      </x:c>
      <x:c r="E361" s="14" t="str">
        <x:v>Tamil Nadu</x:v>
      </x:c>
      <x:c r="F361" s="14" t="str">
        <x:v>N.A.</x:v>
      </x:c>
      <x:c r="G361" s="14" t="str">
        <x:v>Namakkal</x:v>
      </x:c>
      <x:c r="H361" s="14" t="str">
        <x:v>N.A.</x:v>
      </x:c>
      <x:c r="I361" s="15" t="n">
        <x:v>6.4</x:v>
      </x:c>
      <x:c r="J361" s="16" t="n">
        <x:v>0.003023340186237755</x:v>
      </x:c>
      <x:c r="K361" s="15" t="n">
        <x:f>I361*J361</x:f>
        <x:v>0.019349377191921632</x:v>
      </x:c>
      <x:c r="L361" s="20" t="str">
        <x:v>Others (districts not specified) (Waste to Energy)</x:v>
      </x:c>
      <x:c r="M361" s="20" t="str">
        <x:v>Proportional proxy using known Bio Power capacity by district in PlantInfo</x:v>
      </x:c>
      <x:c r="N361" s="20" t="str">
        <x:v>https://mnre.gov.in/en/physical-progress/</x:v>
      </x:c>
      <x:c r="O361" s="20" t="str">
        <x:v>Low</x:v>
      </x:c>
      <x:c r="P361" s="20" t="str">
        <x:v>This is a statewide/residual category, not a plant-level record. The allocation preserves the row total but is an analytical proxy, not an observed facility location.</x:v>
      </x:c>
    </x:row>
    <x:row r="362">
      <x:c r="A362" s="14" t="n">
        <x:v>250</x:v>
      </x:c>
      <x:c r="B362" s="14" t="str">
        <x:v>Bio Power</x:v>
      </x:c>
      <x:c r="C362" s="14" t="str">
        <x:v>operational</x:v>
      </x:c>
      <x:c r="D362" s="20" t="str">
        <x:v>Others (districts not specified) (Waste to Energy) Tamil Nadu N.A. 6.4</x:v>
      </x:c>
      <x:c r="E362" s="14" t="str">
        <x:v>Tamil Nadu</x:v>
      </x:c>
      <x:c r="F362" s="14" t="str">
        <x:v>N.A.</x:v>
      </x:c>
      <x:c r="G362" s="14" t="str">
        <x:v>Perambalur</x:v>
      </x:c>
      <x:c r="H362" s="14" t="str">
        <x:v>N.A.</x:v>
      </x:c>
      <x:c r="I362" s="15" t="n">
        <x:v>6.4</x:v>
      </x:c>
      <x:c r="J362" s="16" t="n">
        <x:v>0.07135082839521102</x:v>
      </x:c>
      <x:c r="K362" s="15" t="n">
        <x:f>I362*J362</x:f>
        <x:v>0.4566453017293506</x:v>
      </x:c>
      <x:c r="L362" s="20" t="str">
        <x:v>Others (districts not specified) (Waste to Energy)</x:v>
      </x:c>
      <x:c r="M362" s="20" t="str">
        <x:v>Proportional proxy using known Bio Power capacity by district in PlantInfo</x:v>
      </x:c>
      <x:c r="N362" s="20" t="str">
        <x:v>https://mnre.gov.in/en/physical-progress/</x:v>
      </x:c>
      <x:c r="O362" s="20" t="str">
        <x:v>Low</x:v>
      </x:c>
      <x:c r="P362" s="20" t="str">
        <x:v>This is a statewide/residual category, not a plant-level record. The allocation preserves the row total but is an analytical proxy, not an observed facility location.</x:v>
      </x:c>
    </x:row>
    <x:row r="363">
      <x:c r="A363" s="14" t="n">
        <x:v>250</x:v>
      </x:c>
      <x:c r="B363" s="14" t="str">
        <x:v>Bio Power</x:v>
      </x:c>
      <x:c r="C363" s="14" t="str">
        <x:v>operational</x:v>
      </x:c>
      <x:c r="D363" s="20" t="str">
        <x:v>Others (districts not specified) (Waste to Energy) Tamil Nadu N.A. 6.4</x:v>
      </x:c>
      <x:c r="E363" s="14" t="str">
        <x:v>Tamil Nadu</x:v>
      </x:c>
      <x:c r="F363" s="14" t="str">
        <x:v>N.A.</x:v>
      </x:c>
      <x:c r="G363" s="14" t="str">
        <x:v>Pudukkottai</x:v>
      </x:c>
      <x:c r="H363" s="14" t="str">
        <x:v>N.A.</x:v>
      </x:c>
      <x:c r="I363" s="15" t="n">
        <x:v>6.4</x:v>
      </x:c>
      <x:c r="J363" s="16" t="n">
        <x:v>0.04293143064457612</x:v>
      </x:c>
      <x:c r="K363" s="15" t="n">
        <x:f>I363*J363</x:f>
        <x:v>0.2747611561252872</x:v>
      </x:c>
      <x:c r="L363" s="20" t="str">
        <x:v>Others (districts not specified) (Waste to Energy)</x:v>
      </x:c>
      <x:c r="M363" s="20" t="str">
        <x:v>Proportional proxy using known Bio Power capacity by district in PlantInfo</x:v>
      </x:c>
      <x:c r="N363" s="20" t="str">
        <x:v>https://mnre.gov.in/en/physical-progress/</x:v>
      </x:c>
      <x:c r="O363" s="20" t="str">
        <x:v>Low</x:v>
      </x:c>
      <x:c r="P363" s="20" t="str">
        <x:v>This is a statewide/residual category, not a plant-level record. The allocation preserves the row total but is an analytical proxy, not an observed facility location.</x:v>
      </x:c>
    </x:row>
    <x:row r="364">
      <x:c r="A364" s="14" t="n">
        <x:v>250</x:v>
      </x:c>
      <x:c r="B364" s="14" t="str">
        <x:v>Bio Power</x:v>
      </x:c>
      <x:c r="C364" s="14" t="str">
        <x:v>operational</x:v>
      </x:c>
      <x:c r="D364" s="20" t="str">
        <x:v>Others (districts not specified) (Waste to Energy) Tamil Nadu N.A. 6.4</x:v>
      </x:c>
      <x:c r="E364" s="14" t="str">
        <x:v>Tamil Nadu</x:v>
      </x:c>
      <x:c r="F364" s="14" t="str">
        <x:v>N.A.</x:v>
      </x:c>
      <x:c r="G364" s="14" t="str">
        <x:v>Sivaganga</x:v>
      </x:c>
      <x:c r="H364" s="14" t="str">
        <x:v>N.A.</x:v>
      </x:c>
      <x:c r="I364" s="15" t="n">
        <x:v>6.4</x:v>
      </x:c>
      <x:c r="J364" s="16" t="n">
        <x:v>0.07135082839521102</x:v>
      </x:c>
      <x:c r="K364" s="15" t="n">
        <x:f>I364*J364</x:f>
        <x:v>0.4566453017293506</x:v>
      </x:c>
      <x:c r="L364" s="20" t="str">
        <x:v>Others (districts not specified) (Waste to Energy)</x:v>
      </x:c>
      <x:c r="M364" s="20" t="str">
        <x:v>Proportional proxy using known Bio Power capacity by district in PlantInfo</x:v>
      </x:c>
      <x:c r="N364" s="20" t="str">
        <x:v>https://mnre.gov.in/en/physical-progress/</x:v>
      </x:c>
      <x:c r="O364" s="20" t="str">
        <x:v>Low</x:v>
      </x:c>
      <x:c r="P364" s="20" t="str">
        <x:v>This is a statewide/residual category, not a plant-level record. The allocation preserves the row total but is an analytical proxy, not an observed facility location.</x:v>
      </x:c>
    </x:row>
    <x:row r="365">
      <x:c r="A365" s="14" t="n">
        <x:v>250</x:v>
      </x:c>
      <x:c r="B365" s="14" t="str">
        <x:v>Bio Power</x:v>
      </x:c>
      <x:c r="C365" s="14" t="str">
        <x:v>operational</x:v>
      </x:c>
      <x:c r="D365" s="20" t="str">
        <x:v>Others (districts not specified) (Waste to Energy) Tamil Nadu N.A. 6.4</x:v>
      </x:c>
      <x:c r="E365" s="14" t="str">
        <x:v>Tamil Nadu</x:v>
      </x:c>
      <x:c r="F365" s="14" t="str">
        <x:v>N.A.</x:v>
      </x:c>
      <x:c r="G365" s="14" t="str">
        <x:v>Thanjavur</x:v>
      </x:c>
      <x:c r="H365" s="14" t="str">
        <x:v>N.A.</x:v>
      </x:c>
      <x:c r="I365" s="15" t="n">
        <x:v>6.4</x:v>
      </x:c>
      <x:c r="J365" s="16" t="n">
        <x:v>0.0627887289877857</x:v>
      </x:c>
      <x:c r="K365" s="15" t="n">
        <x:f>I365*J365</x:f>
        <x:v>0.4018478655218285</x:v>
      </x:c>
      <x:c r="L365" s="20" t="str">
        <x:v>Others (districts not specified) (Waste to Energy)</x:v>
      </x:c>
      <x:c r="M365" s="20" t="str">
        <x:v>Proportional proxy using known Bio Power capacity by district in PlantInfo</x:v>
      </x:c>
      <x:c r="N365" s="20" t="str">
        <x:v>https://mnre.gov.in/en/physical-progress/</x:v>
      </x:c>
      <x:c r="O365" s="20" t="str">
        <x:v>Low</x:v>
      </x:c>
      <x:c r="P365" s="20" t="str">
        <x:v>This is a statewide/residual category, not a plant-level record. The allocation preserves the row total but is an analytical proxy, not an observed facility location.</x:v>
      </x:c>
    </x:row>
    <x:row r="366">
      <x:c r="A366" s="14" t="n">
        <x:v>250</x:v>
      </x:c>
      <x:c r="B366" s="14" t="str">
        <x:v>Bio Power</x:v>
      </x:c>
      <x:c r="C366" s="14" t="str">
        <x:v>operational</x:v>
      </x:c>
      <x:c r="D366" s="20" t="str">
        <x:v>Others (districts not specified) (Waste to Energy) Tamil Nadu N.A. 6.4</x:v>
      </x:c>
      <x:c r="E366" s="14" t="str">
        <x:v>Tamil Nadu</x:v>
      </x:c>
      <x:c r="F366" s="14" t="str">
        <x:v>N.A.</x:v>
      </x:c>
      <x:c r="G366" s="14" t="str">
        <x:v>Theni</x:v>
      </x:c>
      <x:c r="H366" s="14" t="str">
        <x:v>N.A.</x:v>
      </x:c>
      <x:c r="I366" s="15" t="n">
        <x:v>6.4</x:v>
      </x:c>
      <x:c r="J366" s="16" t="n">
        <x:v>0.019954045229169184</x:v>
      </x:c>
      <x:c r="K366" s="15" t="n">
        <x:f>I366*J366</x:f>
        <x:v>0.1277058894666828</x:v>
      </x:c>
      <x:c r="L366" s="20" t="str">
        <x:v>Others (districts not specified) (Waste to Energy)</x:v>
      </x:c>
      <x:c r="M366" s="20" t="str">
        <x:v>Proportional proxy using known Bio Power capacity by district in PlantInfo</x:v>
      </x:c>
      <x:c r="N366" s="20" t="str">
        <x:v>https://mnre.gov.in/en/physical-progress/</x:v>
      </x:c>
      <x:c r="O366" s="20" t="str">
        <x:v>Low</x:v>
      </x:c>
      <x:c r="P366" s="20" t="str">
        <x:v>This is a statewide/residual category, not a plant-level record. The allocation preserves the row total but is an analytical proxy, not an observed facility location.</x:v>
      </x:c>
    </x:row>
    <x:row r="367">
      <x:c r="A367" s="14" t="n">
        <x:v>250</x:v>
      </x:c>
      <x:c r="B367" s="14" t="str">
        <x:v>Bio Power</x:v>
      </x:c>
      <x:c r="C367" s="14" t="str">
        <x:v>operational</x:v>
      </x:c>
      <x:c r="D367" s="20" t="str">
        <x:v>Others (districts not specified) (Waste to Energy) Tamil Nadu N.A. 6.4</x:v>
      </x:c>
      <x:c r="E367" s="14" t="str">
        <x:v>Tamil Nadu</x:v>
      </x:c>
      <x:c r="F367" s="14" t="str">
        <x:v>N.A.</x:v>
      </x:c>
      <x:c r="G367" s="14" t="str">
        <x:v>Thoothukudi</x:v>
      </x:c>
      <x:c r="H367" s="14" t="str">
        <x:v>N.A.</x:v>
      </x:c>
      <x:c r="I367" s="15" t="n">
        <x:v>6.4</x:v>
      </x:c>
      <x:c r="J367" s="16" t="n">
        <x:v>0.007256016446970612</x:v>
      </x:c>
      <x:c r="K367" s="15" t="n">
        <x:f>I367*J367</x:f>
        <x:v>0.04643850526061192</x:v>
      </x:c>
      <x:c r="L367" s="20" t="str">
        <x:v>Others (districts not specified) (Waste to Energy)</x:v>
      </x:c>
      <x:c r="M367" s="20" t="str">
        <x:v>Proportional proxy using known Bio Power capacity by district in PlantInfo</x:v>
      </x:c>
      <x:c r="N367" s="20" t="str">
        <x:v>https://mnre.gov.in/en/physical-progress/</x:v>
      </x:c>
      <x:c r="O367" s="20" t="str">
        <x:v>Low</x:v>
      </x:c>
      <x:c r="P367" s="20" t="str">
        <x:v>This is a statewide/residual category, not a plant-level record. The allocation preserves the row total but is an analytical proxy, not an observed facility location.</x:v>
      </x:c>
    </x:row>
    <x:row r="368">
      <x:c r="A368" s="14" t="n">
        <x:v>250</x:v>
      </x:c>
      <x:c r="B368" s="14" t="str">
        <x:v>Bio Power</x:v>
      </x:c>
      <x:c r="C368" s="14" t="str">
        <x:v>operational</x:v>
      </x:c>
      <x:c r="D368" s="20" t="str">
        <x:v>Others (districts not specified) (Waste to Energy) Tamil Nadu N.A. 6.4</x:v>
      </x:c>
      <x:c r="E368" s="14" t="str">
        <x:v>Tamil Nadu</x:v>
      </x:c>
      <x:c r="F368" s="14" t="str">
        <x:v>N.A.</x:v>
      </x:c>
      <x:c r="G368" s="14" t="str">
        <x:v>Tiruchirappalli</x:v>
      </x:c>
      <x:c r="H368" s="14" t="str">
        <x:v>N.A.</x:v>
      </x:c>
      <x:c r="I368" s="15" t="n">
        <x:v>6.4</x:v>
      </x:c>
      <x:c r="J368" s="16" t="n">
        <x:v>0.021768049340911838</x:v>
      </x:c>
      <x:c r="K368" s="15" t="n">
        <x:f>I368*J368</x:f>
        <x:v>0.13931551578183576</x:v>
      </x:c>
      <x:c r="L368" s="20" t="str">
        <x:v>Others (districts not specified) (Waste to Energy)</x:v>
      </x:c>
      <x:c r="M368" s="20" t="str">
        <x:v>Proportional proxy using known Bio Power capacity by district in PlantInfo</x:v>
      </x:c>
      <x:c r="N368" s="20" t="str">
        <x:v>https://mnre.gov.in/en/physical-progress/</x:v>
      </x:c>
      <x:c r="O368" s="20" t="str">
        <x:v>Low</x:v>
      </x:c>
      <x:c r="P368" s="20" t="str">
        <x:v>This is a statewide/residual category, not a plant-level record. The allocation preserves the row total but is an analytical proxy, not an observed facility location.</x:v>
      </x:c>
    </x:row>
    <x:row r="369">
      <x:c r="A369" s="14" t="n">
        <x:v>250</x:v>
      </x:c>
      <x:c r="B369" s="14" t="str">
        <x:v>Bio Power</x:v>
      </x:c>
      <x:c r="C369" s="14" t="str">
        <x:v>operational</x:v>
      </x:c>
      <x:c r="D369" s="20" t="str">
        <x:v>Others (districts not specified) (Waste to Energy) Tamil Nadu N.A. 6.4</x:v>
      </x:c>
      <x:c r="E369" s="14" t="str">
        <x:v>Tamil Nadu</x:v>
      </x:c>
      <x:c r="F369" s="14" t="str">
        <x:v>N.A.</x:v>
      </x:c>
      <x:c r="G369" s="14" t="str">
        <x:v>Tirunelveli</x:v>
      </x:c>
      <x:c r="H369" s="14" t="str">
        <x:v>N.A.</x:v>
      </x:c>
      <x:c r="I369" s="15" t="n">
        <x:v>6.4</x:v>
      </x:c>
      <x:c r="J369" s="16" t="n">
        <x:v>0.1209336074495102</x:v>
      </x:c>
      <x:c r="K369" s="15" t="n">
        <x:f>I369*J369</x:f>
        <x:v>0.7739750876768654</x:v>
      </x:c>
      <x:c r="L369" s="20" t="str">
        <x:v>Others (districts not specified) (Waste to Energy)</x:v>
      </x:c>
      <x:c r="M369" s="20" t="str">
        <x:v>Proportional proxy using known Bio Power capacity by district in PlantInfo</x:v>
      </x:c>
      <x:c r="N369" s="20" t="str">
        <x:v>https://mnre.gov.in/en/physical-progress/</x:v>
      </x:c>
      <x:c r="O369" s="20" t="str">
        <x:v>Low</x:v>
      </x:c>
      <x:c r="P369" s="20" t="str">
        <x:v>This is a statewide/residual category, not a plant-level record. The allocation preserves the row total but is an analytical proxy, not an observed facility location.</x:v>
      </x:c>
    </x:row>
    <x:row r="370">
      <x:c r="A370" s="14" t="n">
        <x:v>250</x:v>
      </x:c>
      <x:c r="B370" s="14" t="str">
        <x:v>Bio Power</x:v>
      </x:c>
      <x:c r="C370" s="14" t="str">
        <x:v>operational</x:v>
      </x:c>
      <x:c r="D370" s="20" t="str">
        <x:v>Others (districts not specified) (Waste to Energy) Tamil Nadu N.A. 6.4</x:v>
      </x:c>
      <x:c r="E370" s="14" t="str">
        <x:v>Tamil Nadu</x:v>
      </x:c>
      <x:c r="F370" s="14" t="str">
        <x:v>N.A.</x:v>
      </x:c>
      <x:c r="G370" s="14" t="str">
        <x:v>Tiruvallur</x:v>
      </x:c>
      <x:c r="H370" s="14" t="str">
        <x:v>N.A.</x:v>
      </x:c>
      <x:c r="I370" s="15" t="n">
        <x:v>6.4</x:v>
      </x:c>
      <x:c r="J370" s="16" t="n">
        <x:v>0.00568387955012698</x:v>
      </x:c>
      <x:c r="K370" s="15" t="n">
        <x:f>I370*J370</x:f>
        <x:v>0.03637682912081267</x:v>
      </x:c>
      <x:c r="L370" s="20" t="str">
        <x:v>Others (districts not specified) (Waste to Energy)</x:v>
      </x:c>
      <x:c r="M370" s="20" t="str">
        <x:v>Proportional proxy using known Bio Power capacity by district in PlantInfo</x:v>
      </x:c>
      <x:c r="N370" s="20" t="str">
        <x:v>https://mnre.gov.in/en/physical-progress/</x:v>
      </x:c>
      <x:c r="O370" s="20" t="str">
        <x:v>Low</x:v>
      </x:c>
      <x:c r="P370" s="20" t="str">
        <x:v>This is a statewide/residual category, not a plant-level record. The allocation preserves the row total but is an analytical proxy, not an observed facility location.</x:v>
      </x:c>
    </x:row>
    <x:row r="371">
      <x:c r="A371" s="14" t="n">
        <x:v>250</x:v>
      </x:c>
      <x:c r="B371" s="14" t="str">
        <x:v>Bio Power</x:v>
      </x:c>
      <x:c r="C371" s="14" t="str">
        <x:v>operational</x:v>
      </x:c>
      <x:c r="D371" s="20" t="str">
        <x:v>Others (districts not specified) (Waste to Energy) Tamil Nadu N.A. 6.4</x:v>
      </x:c>
      <x:c r="E371" s="14" t="str">
        <x:v>Tamil Nadu</x:v>
      </x:c>
      <x:c r="F371" s="14" t="str">
        <x:v>N.A.</x:v>
      </x:c>
      <x:c r="G371" s="14" t="str">
        <x:v>Tiruvannamalai</x:v>
      </x:c>
      <x:c r="H371" s="14" t="str">
        <x:v>N.A.</x:v>
      </x:c>
      <x:c r="I371" s="15" t="n">
        <x:v>6.4</x:v>
      </x:c>
      <x:c r="J371" s="16" t="n">
        <x:v>0.09408634659571893</x:v>
      </x:c>
      <x:c r="K371" s="15" t="n">
        <x:f>I371*J371</x:f>
        <x:v>0.6021526182126012</x:v>
      </x:c>
      <x:c r="L371" s="20" t="str">
        <x:v>Others (districts not specified) (Waste to Energy)</x:v>
      </x:c>
      <x:c r="M371" s="20" t="str">
        <x:v>Proportional proxy using known Bio Power capacity by district in PlantInfo</x:v>
      </x:c>
      <x:c r="N371" s="20" t="str">
        <x:v>https://mnre.gov.in/en/physical-progress/</x:v>
      </x:c>
      <x:c r="O371" s="20" t="str">
        <x:v>Low</x:v>
      </x:c>
      <x:c r="P371" s="20" t="str">
        <x:v>This is a statewide/residual category, not a plant-level record. The allocation preserves the row total but is an analytical proxy, not an observed facility location.</x:v>
      </x:c>
    </x:row>
    <x:row r="372">
      <x:c r="A372" s="14" t="n">
        <x:v>250</x:v>
      </x:c>
      <x:c r="B372" s="14" t="str">
        <x:v>Bio Power</x:v>
      </x:c>
      <x:c r="C372" s="14" t="str">
        <x:v>operational</x:v>
      </x:c>
      <x:c r="D372" s="20" t="str">
        <x:v>Others (districts not specified) (Waste to Energy) Tamil Nadu N.A. 6.4</x:v>
      </x:c>
      <x:c r="E372" s="14" t="str">
        <x:v>Tamil Nadu</x:v>
      </x:c>
      <x:c r="F372" s="14" t="str">
        <x:v>N.A.</x:v>
      </x:c>
      <x:c r="G372" s="14" t="str">
        <x:v>Viluppuram</x:v>
      </x:c>
      <x:c r="H372" s="14" t="str">
        <x:v>N.A.</x:v>
      </x:c>
      <x:c r="I372" s="15" t="n">
        <x:v>6.4</x:v>
      </x:c>
      <x:c r="J372" s="16" t="n">
        <x:v>0.07739750876768653</x:v>
      </x:c>
      <x:c r="K372" s="15" t="n">
        <x:f>I372*J372</x:f>
        <x:v>0.4953440561131938</x:v>
      </x:c>
      <x:c r="L372" s="20" t="str">
        <x:v>Others (districts not specified) (Waste to Energy)</x:v>
      </x:c>
      <x:c r="M372" s="20" t="str">
        <x:v>Proportional proxy using known Bio Power capacity by district in PlantInfo</x:v>
      </x:c>
      <x:c r="N372" s="20" t="str">
        <x:v>https://mnre.gov.in/en/physical-progress/</x:v>
      </x:c>
      <x:c r="O372" s="20" t="str">
        <x:v>Low</x:v>
      </x:c>
      <x:c r="P372" s="20" t="str">
        <x:v>This is a statewide/residual category, not a plant-level record. The allocation preserves the row total but is an analytical proxy, not an observed facility location.</x:v>
      </x:c>
    </x:row>
    <x:row r="373">
      <x:c r="A373" s="14" t="n">
        <x:v>250</x:v>
      </x:c>
      <x:c r="B373" s="14" t="str">
        <x:v>Bio Power</x:v>
      </x:c>
      <x:c r="C373" s="14" t="str">
        <x:v>operational</x:v>
      </x:c>
      <x:c r="D373" s="20" t="str">
        <x:v>Others (districts not specified) (Waste to Energy) Tamil Nadu N.A. 6.4</x:v>
      </x:c>
      <x:c r="E373" s="14" t="str">
        <x:v>Tamil Nadu</x:v>
      </x:c>
      <x:c r="F373" s="14" t="str">
        <x:v>N.A.</x:v>
      </x:c>
      <x:c r="G373" s="14" t="str">
        <x:v>Virudhunagar</x:v>
      </x:c>
      <x:c r="H373" s="14" t="str">
        <x:v>N.A.</x:v>
      </x:c>
      <x:c r="I373" s="15" t="n">
        <x:v>6.4</x:v>
      </x:c>
      <x:c r="J373" s="16" t="n">
        <x:v>0.018079574313701774</x:v>
      </x:c>
      <x:c r="K373" s="15" t="n">
        <x:f>I373*J373</x:f>
        <x:v>0.11570927560769136</x:v>
      </x:c>
      <x:c r="L373" s="20" t="str">
        <x:v>Others (districts not specified) (Waste to Energy)</x:v>
      </x:c>
      <x:c r="M373" s="20" t="str">
        <x:v>Proportional proxy using known Bio Power capacity by district in PlantInfo</x:v>
      </x:c>
      <x:c r="N373" s="20" t="str">
        <x:v>https://mnre.gov.in/en/physical-progress/</x:v>
      </x:c>
      <x:c r="O373" s="20" t="str">
        <x:v>Low</x:v>
      </x:c>
      <x:c r="P373" s="20" t="str">
        <x:v>This is a statewide/residual category, not a plant-level record. The allocation preserves the row total but is an analytical proxy, not an observed facility location.</x:v>
      </x:c>
    </x:row>
    <x:row r="374">
      <x:c r="A374" s="14" t="n">
        <x:v>251</x:v>
      </x:c>
      <x:c r="B374" s="14" t="str">
        <x:v>Bio Power</x:v>
      </x:c>
      <x:c r="C374" s="14" t="str">
        <x:v>operational</x:v>
      </x:c>
      <x:c r="D374" s="20" t="str">
        <x:v>Others (districts not specified) [Biomass &amp; bagasse based cogen.] Tamil Nadu N.A. 138.2</x:v>
      </x:c>
      <x:c r="E374" s="14" t="str">
        <x:v>Tamil Nadu</x:v>
      </x:c>
      <x:c r="F374" s="14" t="str">
        <x:v>N.A.</x:v>
      </x:c>
      <x:c r="G374" s="14" t="str">
        <x:v>Chennai</x:v>
      </x:c>
      <x:c r="H374" s="14" t="str">
        <x:v>N.A.</x:v>
      </x:c>
      <x:c r="I374" s="15" t="n">
        <x:v>138.2</x:v>
      </x:c>
      <x:c r="J374" s="16" t="n">
        <x:v>0.0003023340186237755</x:v>
      </x:c>
      <x:c r="K374" s="15" t="n">
        <x:f>I374*J374</x:f>
        <x:v>0.041782561373805774</x:v>
      </x:c>
      <x:c r="L374" s="20" t="str">
        <x:v>Others (districts not specified) [Biomass &amp; bagasse based cogen.]</x:v>
      </x:c>
      <x:c r="M374" s="20" t="str">
        <x:v>Proportional proxy using known Bio Power capacity by district in PlantInfo</x:v>
      </x:c>
      <x:c r="N374" s="20" t="str">
        <x:v>https://mnre.gov.in/en/physical-progress/</x:v>
      </x:c>
      <x:c r="O374" s="20" t="str">
        <x:v>Low</x:v>
      </x:c>
      <x:c r="P374" s="20" t="str">
        <x:v>This is a statewide/residual category, not a plant-level record. The allocation preserves the row total but is an analytical proxy, not an observed facility location.</x:v>
      </x:c>
    </x:row>
    <x:row r="375">
      <x:c r="A375" s="14" t="n">
        <x:v>251</x:v>
      </x:c>
      <x:c r="B375" s="14" t="str">
        <x:v>Bio Power</x:v>
      </x:c>
      <x:c r="C375" s="14" t="str">
        <x:v>operational</x:v>
      </x:c>
      <x:c r="D375" s="20" t="str">
        <x:v>Others (districts not specified) [Biomass &amp; bagasse based cogen.] Tamil Nadu N.A. 138.2</x:v>
      </x:c>
      <x:c r="E375" s="14" t="str">
        <x:v>Tamil Nadu</x:v>
      </x:c>
      <x:c r="F375" s="14" t="str">
        <x:v>N.A.</x:v>
      </x:c>
      <x:c r="G375" s="14" t="str">
        <x:v>Coimbatore</x:v>
      </x:c>
      <x:c r="H375" s="14" t="str">
        <x:v>N.A.</x:v>
      </x:c>
      <x:c r="I375" s="15" t="n">
        <x:v>138.2</x:v>
      </x:c>
      <x:c r="J375" s="16" t="n">
        <x:v>0.014028298464143184</x:v>
      </x:c>
      <x:c r="K375" s="15" t="n">
        <x:f>I375*J375</x:f>
        <x:v>1.9387108477445878</x:v>
      </x:c>
      <x:c r="L375" s="20" t="str">
        <x:v>Others (districts not specified) [Biomass &amp; bagasse based cogen.]</x:v>
      </x:c>
      <x:c r="M375" s="20" t="str">
        <x:v>Proportional proxy using known Bio Power capacity by district in PlantInfo</x:v>
      </x:c>
      <x:c r="N375" s="20" t="str">
        <x:v>https://mnre.gov.in/en/physical-progress/</x:v>
      </x:c>
      <x:c r="O375" s="20" t="str">
        <x:v>Low</x:v>
      </x:c>
      <x:c r="P375" s="20" t="str">
        <x:v>This is a statewide/residual category, not a plant-level record. The allocation preserves the row total but is an analytical proxy, not an observed facility location.</x:v>
      </x:c>
    </x:row>
    <x:row r="376">
      <x:c r="A376" s="14" t="n">
        <x:v>251</x:v>
      </x:c>
      <x:c r="B376" s="14" t="str">
        <x:v>Bio Power</x:v>
      </x:c>
      <x:c r="C376" s="14" t="str">
        <x:v>operational</x:v>
      </x:c>
      <x:c r="D376" s="20" t="str">
        <x:v>Others (districts not specified) [Biomass &amp; bagasse based cogen.] Tamil Nadu N.A. 138.2</x:v>
      </x:c>
      <x:c r="E376" s="14" t="str">
        <x:v>Tamil Nadu</x:v>
      </x:c>
      <x:c r="F376" s="14" t="str">
        <x:v>N.A.</x:v>
      </x:c>
      <x:c r="G376" s="14" t="str">
        <x:v>Cuddalore</x:v>
      </x:c>
      <x:c r="H376" s="14" t="str">
        <x:v>N.A.</x:v>
      </x:c>
      <x:c r="I376" s="15" t="n">
        <x:v>138.2</x:v>
      </x:c>
      <x:c r="J376" s="16" t="n">
        <x:v>0.10966259523521586</x:v>
      </x:c>
      <x:c r="K376" s="15" t="n">
        <x:f>I376*J376</x:f>
        <x:v>15.155370661506831</x:v>
      </x:c>
      <x:c r="L376" s="20" t="str">
        <x:v>Others (districts not specified) [Biomass &amp; bagasse based cogen.]</x:v>
      </x:c>
      <x:c r="M376" s="20" t="str">
        <x:v>Proportional proxy using known Bio Power capacity by district in PlantInfo</x:v>
      </x:c>
      <x:c r="N376" s="20" t="str">
        <x:v>https://mnre.gov.in/en/physical-progress/</x:v>
      </x:c>
      <x:c r="O376" s="20" t="str">
        <x:v>Low</x:v>
      </x:c>
      <x:c r="P376" s="20" t="str">
        <x:v>This is a statewide/residual category, not a plant-level record. The allocation preserves the row total but is an analytical proxy, not an observed facility location.</x:v>
      </x:c>
    </x:row>
    <x:row r="377">
      <x:c r="A377" s="14" t="n">
        <x:v>251</x:v>
      </x:c>
      <x:c r="B377" s="14" t="str">
        <x:v>Bio Power</x:v>
      </x:c>
      <x:c r="C377" s="14" t="str">
        <x:v>operational</x:v>
      </x:c>
      <x:c r="D377" s="20" t="str">
        <x:v>Others (districts not specified) [Biomass &amp; bagasse based cogen.] Tamil Nadu N.A. 138.2</x:v>
      </x:c>
      <x:c r="E377" s="14" t="str">
        <x:v>Tamil Nadu</x:v>
      </x:c>
      <x:c r="F377" s="14" t="str">
        <x:v>N.A.</x:v>
      </x:c>
      <x:c r="G377" s="14" t="str">
        <x:v>Dharmapuri</x:v>
      </x:c>
      <x:c r="H377" s="14" t="str">
        <x:v>N.A.</x:v>
      </x:c>
      <x:c r="I377" s="15" t="n">
        <x:v>138.2</x:v>
      </x:c>
      <x:c r="J377" s="16" t="n">
        <x:v>0.01814004111742653</x:v>
      </x:c>
      <x:c r="K377" s="15" t="n">
        <x:f>I377*J377</x:f>
        <x:v>2.506953682428346</x:v>
      </x:c>
      <x:c r="L377" s="20" t="str">
        <x:v>Others (districts not specified) [Biomass &amp; bagasse based cogen.]</x:v>
      </x:c>
      <x:c r="M377" s="20" t="str">
        <x:v>Proportional proxy using known Bio Power capacity by district in PlantInfo</x:v>
      </x:c>
      <x:c r="N377" s="20" t="str">
        <x:v>https://mnre.gov.in/en/physical-progress/</x:v>
      </x:c>
      <x:c r="O377" s="20" t="str">
        <x:v>Low</x:v>
      </x:c>
      <x:c r="P377" s="20" t="str">
        <x:v>This is a statewide/residual category, not a plant-level record. The allocation preserves the row total but is an analytical proxy, not an observed facility location.</x:v>
      </x:c>
    </x:row>
    <x:row r="378">
      <x:c r="A378" s="14" t="n">
        <x:v>251</x:v>
      </x:c>
      <x:c r="B378" s="14" t="str">
        <x:v>Bio Power</x:v>
      </x:c>
      <x:c r="C378" s="14" t="str">
        <x:v>operational</x:v>
      </x:c>
      <x:c r="D378" s="20" t="str">
        <x:v>Others (districts not specified) [Biomass &amp; bagasse based cogen.] Tamil Nadu N.A. 138.2</x:v>
      </x:c>
      <x:c r="E378" s="14" t="str">
        <x:v>Tamil Nadu</x:v>
      </x:c>
      <x:c r="F378" s="14" t="str">
        <x:v>N.A.</x:v>
      </x:c>
      <x:c r="G378" s="14" t="str">
        <x:v>Dindigul</x:v>
      </x:c>
      <x:c r="H378" s="14" t="str">
        <x:v>N.A.</x:v>
      </x:c>
      <x:c r="I378" s="15" t="n">
        <x:v>138.2</x:v>
      </x:c>
      <x:c r="J378" s="16" t="n">
        <x:v>0.009070020558713265</x:v>
      </x:c>
      <x:c r="K378" s="15" t="n">
        <x:f>I378*J378</x:f>
        <x:v>1.253476841214173</x:v>
      </x:c>
      <x:c r="L378" s="20" t="str">
        <x:v>Others (districts not specified) [Biomass &amp; bagasse based cogen.]</x:v>
      </x:c>
      <x:c r="M378" s="20" t="str">
        <x:v>Proportional proxy using known Bio Power capacity by district in PlantInfo</x:v>
      </x:c>
      <x:c r="N378" s="20" t="str">
        <x:v>https://mnre.gov.in/en/physical-progress/</x:v>
      </x:c>
      <x:c r="O378" s="20" t="str">
        <x:v>Low</x:v>
      </x:c>
      <x:c r="P378" s="20" t="str">
        <x:v>This is a statewide/residual category, not a plant-level record. The allocation preserves the row total but is an analytical proxy, not an observed facility location.</x:v>
      </x:c>
    </x:row>
    <x:row r="379">
      <x:c r="A379" s="14" t="n">
        <x:v>251</x:v>
      </x:c>
      <x:c r="B379" s="14" t="str">
        <x:v>Bio Power</x:v>
      </x:c>
      <x:c r="C379" s="14" t="str">
        <x:v>operational</x:v>
      </x:c>
      <x:c r="D379" s="20" t="str">
        <x:v>Others (districts not specified) [Biomass &amp; bagasse based cogen.] Tamil Nadu N.A. 138.2</x:v>
      </x:c>
      <x:c r="E379" s="14" t="str">
        <x:v>Tamil Nadu</x:v>
      </x:c>
      <x:c r="F379" s="14" t="str">
        <x:v>N.A.</x:v>
      </x:c>
      <x:c r="G379" s="14" t="str">
        <x:v>Erode</x:v>
      </x:c>
      <x:c r="H379" s="14" t="str">
        <x:v>N.A.</x:v>
      </x:c>
      <x:c r="I379" s="15" t="n">
        <x:v>138.2</x:v>
      </x:c>
      <x:c r="J379" s="16" t="n">
        <x:v>0.1173055992260249</x:v>
      </x:c>
      <x:c r="K379" s="15" t="n">
        <x:f>I379*J379</x:f>
        <x:v>16.21163381303664</x:v>
      </x:c>
      <x:c r="L379" s="20" t="str">
        <x:v>Others (districts not specified) [Biomass &amp; bagasse based cogen.]</x:v>
      </x:c>
      <x:c r="M379" s="20" t="str">
        <x:v>Proportional proxy using known Bio Power capacity by district in PlantInfo</x:v>
      </x:c>
      <x:c r="N379" s="20" t="str">
        <x:v>https://mnre.gov.in/en/physical-progress/</x:v>
      </x:c>
      <x:c r="O379" s="20" t="str">
        <x:v>Low</x:v>
      </x:c>
      <x:c r="P379" s="20" t="str">
        <x:v>This is a statewide/residual category, not a plant-level record. The allocation preserves the row total but is an analytical proxy, not an observed facility location.</x:v>
      </x:c>
    </x:row>
    <x:row r="380">
      <x:c r="A380" s="14" t="n">
        <x:v>251</x:v>
      </x:c>
      <x:c r="B380" s="14" t="str">
        <x:v>Bio Power</x:v>
      </x:c>
      <x:c r="C380" s="14" t="str">
        <x:v>operational</x:v>
      </x:c>
      <x:c r="D380" s="20" t="str">
        <x:v>Others (districts not specified) [Biomass &amp; bagasse based cogen.] Tamil Nadu N.A. 138.2</x:v>
      </x:c>
      <x:c r="E380" s="14" t="str">
        <x:v>Tamil Nadu</x:v>
      </x:c>
      <x:c r="F380" s="14" t="str">
        <x:v>N.A.</x:v>
      </x:c>
      <x:c r="G380" s="14" t="str">
        <x:v>Kanchipuram</x:v>
      </x:c>
      <x:c r="H380" s="14" t="str">
        <x:v>N.A.</x:v>
      </x:c>
      <x:c r="I380" s="15" t="n">
        <x:v>138.2</x:v>
      </x:c>
      <x:c r="J380" s="16" t="n">
        <x:v>0.07618817269319143</x:v>
      </x:c>
      <x:c r="K380" s="15" t="n">
        <x:f>I380*J380</x:f>
        <x:v>10.529205466199056</x:v>
      </x:c>
      <x:c r="L380" s="20" t="str">
        <x:v>Others (districts not specified) [Biomass &amp; bagasse based cogen.]</x:v>
      </x:c>
      <x:c r="M380" s="20" t="str">
        <x:v>Proportional proxy using known Bio Power capacity by district in PlantInfo</x:v>
      </x:c>
      <x:c r="N380" s="20" t="str">
        <x:v>https://mnre.gov.in/en/physical-progress/</x:v>
      </x:c>
      <x:c r="O380" s="20" t="str">
        <x:v>Low</x:v>
      </x:c>
      <x:c r="P380" s="20" t="str">
        <x:v>This is a statewide/residual category, not a plant-level record. The allocation preserves the row total but is an analytical proxy, not an observed facility location.</x:v>
      </x:c>
    </x:row>
    <x:row r="381">
      <x:c r="A381" s="14" t="n">
        <x:v>251</x:v>
      </x:c>
      <x:c r="B381" s="14" t="str">
        <x:v>Bio Power</x:v>
      </x:c>
      <x:c r="C381" s="14" t="str">
        <x:v>operational</x:v>
      </x:c>
      <x:c r="D381" s="20" t="str">
        <x:v>Others (districts not specified) [Biomass &amp; bagasse based cogen.] Tamil Nadu N.A. 138.2</x:v>
      </x:c>
      <x:c r="E381" s="14" t="str">
        <x:v>Tamil Nadu</x:v>
      </x:c>
      <x:c r="F381" s="14" t="str">
        <x:v>N.A.</x:v>
      </x:c>
      <x:c r="G381" s="14" t="str">
        <x:v>Karur</x:v>
      </x:c>
      <x:c r="H381" s="14" t="str">
        <x:v>N.A.</x:v>
      </x:c>
      <x:c r="I381" s="15" t="n">
        <x:v>138.2</x:v>
      </x:c>
      <x:c r="J381" s="16" t="n">
        <x:v>0.026605393638892246</x:v>
      </x:c>
      <x:c r="K381" s="15" t="n">
        <x:f>I381*J381</x:f>
        <x:v>3.676865400894908</x:v>
      </x:c>
      <x:c r="L381" s="20" t="str">
        <x:v>Others (districts not specified) [Biomass &amp; bagasse based cogen.]</x:v>
      </x:c>
      <x:c r="M381" s="20" t="str">
        <x:v>Proportional proxy using known Bio Power capacity by district in PlantInfo</x:v>
      </x:c>
      <x:c r="N381" s="20" t="str">
        <x:v>https://mnre.gov.in/en/physical-progress/</x:v>
      </x:c>
      <x:c r="O381" s="20" t="str">
        <x:v>Low</x:v>
      </x:c>
      <x:c r="P381" s="20" t="str">
        <x:v>This is a statewide/residual category, not a plant-level record. The allocation preserves the row total but is an analytical proxy, not an observed facility location.</x:v>
      </x:c>
    </x:row>
    <x:row r="382">
      <x:c r="A382" s="14" t="n">
        <x:v>251</x:v>
      </x:c>
      <x:c r="B382" s="14" t="str">
        <x:v>Bio Power</x:v>
      </x:c>
      <x:c r="C382" s="14" t="str">
        <x:v>operational</x:v>
      </x:c>
      <x:c r="D382" s="20" t="str">
        <x:v>Others (districts not specified) [Biomass &amp; bagasse based cogen.] Tamil Nadu N.A. 138.2</x:v>
      </x:c>
      <x:c r="E382" s="14" t="str">
        <x:v>Tamil Nadu</x:v>
      </x:c>
      <x:c r="F382" s="14" t="str">
        <x:v>N.A.</x:v>
      </x:c>
      <x:c r="G382" s="14" t="str">
        <x:v>Madurai</x:v>
      </x:c>
      <x:c r="H382" s="14" t="str">
        <x:v>N.A.</x:v>
      </x:c>
      <x:c r="I382" s="15" t="n">
        <x:v>138.2</x:v>
      </x:c>
      <x:c r="J382" s="16" t="n">
        <x:v>0.01209336074495102</x:v>
      </x:c>
      <x:c r="K382" s="15" t="n">
        <x:f>I382*J382</x:f>
        <x:v>1.6713024549522308</x:v>
      </x:c>
      <x:c r="L382" s="20" t="str">
        <x:v>Others (districts not specified) [Biomass &amp; bagasse based cogen.]</x:v>
      </x:c>
      <x:c r="M382" s="20" t="str">
        <x:v>Proportional proxy using known Bio Power capacity by district in PlantInfo</x:v>
      </x:c>
      <x:c r="N382" s="20" t="str">
        <x:v>https://mnre.gov.in/en/physical-progress/</x:v>
      </x:c>
      <x:c r="O382" s="20" t="str">
        <x:v>Low</x:v>
      </x:c>
      <x:c r="P382" s="20" t="str">
        <x:v>This is a statewide/residual category, not a plant-level record. The allocation preserves the row total but is an analytical proxy, not an observed facility location.</x:v>
      </x:c>
    </x:row>
    <x:row r="383">
      <x:c r="A383" s="14" t="n">
        <x:v>251</x:v>
      </x:c>
      <x:c r="B383" s="14" t="str">
        <x:v>Bio Power</x:v>
      </x:c>
      <x:c r="C383" s="14" t="str">
        <x:v>operational</x:v>
      </x:c>
      <x:c r="D383" s="20" t="str">
        <x:v>Others (districts not specified) [Biomass &amp; bagasse based cogen.] Tamil Nadu N.A. 138.2</x:v>
      </x:c>
      <x:c r="E383" s="14" t="str">
        <x:v>Tamil Nadu</x:v>
      </x:c>
      <x:c r="F383" s="14" t="str">
        <x:v>N.A.</x:v>
      </x:c>
      <x:c r="G383" s="14" t="str">
        <x:v>Namakkal</x:v>
      </x:c>
      <x:c r="H383" s="14" t="str">
        <x:v>N.A.</x:v>
      </x:c>
      <x:c r="I383" s="15" t="n">
        <x:v>138.2</x:v>
      </x:c>
      <x:c r="J383" s="16" t="n">
        <x:v>0.003023340186237755</x:v>
      </x:c>
      <x:c r="K383" s="15" t="n">
        <x:f>I383*J383</x:f>
        <x:v>0.4178256137380577</x:v>
      </x:c>
      <x:c r="L383" s="20" t="str">
        <x:v>Others (districts not specified) [Biomass &amp; bagasse based cogen.]</x:v>
      </x:c>
      <x:c r="M383" s="20" t="str">
        <x:v>Proportional proxy using known Bio Power capacity by district in PlantInfo</x:v>
      </x:c>
      <x:c r="N383" s="20" t="str">
        <x:v>https://mnre.gov.in/en/physical-progress/</x:v>
      </x:c>
      <x:c r="O383" s="20" t="str">
        <x:v>Low</x:v>
      </x:c>
      <x:c r="P383" s="20" t="str">
        <x:v>This is a statewide/residual category, not a plant-level record. The allocation preserves the row total but is an analytical proxy, not an observed facility location.</x:v>
      </x:c>
    </x:row>
    <x:row r="384">
      <x:c r="A384" s="14" t="n">
        <x:v>251</x:v>
      </x:c>
      <x:c r="B384" s="14" t="str">
        <x:v>Bio Power</x:v>
      </x:c>
      <x:c r="C384" s="14" t="str">
        <x:v>operational</x:v>
      </x:c>
      <x:c r="D384" s="20" t="str">
        <x:v>Others (districts not specified) [Biomass &amp; bagasse based cogen.] Tamil Nadu N.A. 138.2</x:v>
      </x:c>
      <x:c r="E384" s="14" t="str">
        <x:v>Tamil Nadu</x:v>
      </x:c>
      <x:c r="F384" s="14" t="str">
        <x:v>N.A.</x:v>
      </x:c>
      <x:c r="G384" s="14" t="str">
        <x:v>Perambalur</x:v>
      </x:c>
      <x:c r="H384" s="14" t="str">
        <x:v>N.A.</x:v>
      </x:c>
      <x:c r="I384" s="15" t="n">
        <x:v>138.2</x:v>
      </x:c>
      <x:c r="J384" s="16" t="n">
        <x:v>0.07135082839521102</x:v>
      </x:c>
      <x:c r="K384" s="15" t="n">
        <x:f>I384*J384</x:f>
        <x:v>9.860684484218162</x:v>
      </x:c>
      <x:c r="L384" s="20" t="str">
        <x:v>Others (districts not specified) [Biomass &amp; bagasse based cogen.]</x:v>
      </x:c>
      <x:c r="M384" s="20" t="str">
        <x:v>Proportional proxy using known Bio Power capacity by district in PlantInfo</x:v>
      </x:c>
      <x:c r="N384" s="20" t="str">
        <x:v>https://mnre.gov.in/en/physical-progress/</x:v>
      </x:c>
      <x:c r="O384" s="20" t="str">
        <x:v>Low</x:v>
      </x:c>
      <x:c r="P384" s="20" t="str">
        <x:v>This is a statewide/residual category, not a plant-level record. The allocation preserves the row total but is an analytical proxy, not an observed facility location.</x:v>
      </x:c>
    </x:row>
    <x:row r="385">
      <x:c r="A385" s="14" t="n">
        <x:v>251</x:v>
      </x:c>
      <x:c r="B385" s="14" t="str">
        <x:v>Bio Power</x:v>
      </x:c>
      <x:c r="C385" s="14" t="str">
        <x:v>operational</x:v>
      </x:c>
      <x:c r="D385" s="20" t="str">
        <x:v>Others (districts not specified) [Biomass &amp; bagasse based cogen.] Tamil Nadu N.A. 138.2</x:v>
      </x:c>
      <x:c r="E385" s="14" t="str">
        <x:v>Tamil Nadu</x:v>
      </x:c>
      <x:c r="F385" s="14" t="str">
        <x:v>N.A.</x:v>
      </x:c>
      <x:c r="G385" s="14" t="str">
        <x:v>Pudukkottai</x:v>
      </x:c>
      <x:c r="H385" s="14" t="str">
        <x:v>N.A.</x:v>
      </x:c>
      <x:c r="I385" s="15" t="n">
        <x:v>138.2</x:v>
      </x:c>
      <x:c r="J385" s="16" t="n">
        <x:v>0.04293143064457612</x:v>
      </x:c>
      <x:c r="K385" s="15" t="n">
        <x:f>I385*J385</x:f>
        <x:v>5.933123715080419</x:v>
      </x:c>
      <x:c r="L385" s="20" t="str">
        <x:v>Others (districts not specified) [Biomass &amp; bagasse based cogen.]</x:v>
      </x:c>
      <x:c r="M385" s="20" t="str">
        <x:v>Proportional proxy using known Bio Power capacity by district in PlantInfo</x:v>
      </x:c>
      <x:c r="N385" s="20" t="str">
        <x:v>https://mnre.gov.in/en/physical-progress/</x:v>
      </x:c>
      <x:c r="O385" s="20" t="str">
        <x:v>Low</x:v>
      </x:c>
      <x:c r="P385" s="20" t="str">
        <x:v>This is a statewide/residual category, not a plant-level record. The allocation preserves the row total but is an analytical proxy, not an observed facility location.</x:v>
      </x:c>
    </x:row>
    <x:row r="386">
      <x:c r="A386" s="14" t="n">
        <x:v>251</x:v>
      </x:c>
      <x:c r="B386" s="14" t="str">
        <x:v>Bio Power</x:v>
      </x:c>
      <x:c r="C386" s="14" t="str">
        <x:v>operational</x:v>
      </x:c>
      <x:c r="D386" s="20" t="str">
        <x:v>Others (districts not specified) [Biomass &amp; bagasse based cogen.] Tamil Nadu N.A. 138.2</x:v>
      </x:c>
      <x:c r="E386" s="14" t="str">
        <x:v>Tamil Nadu</x:v>
      </x:c>
      <x:c r="F386" s="14" t="str">
        <x:v>N.A.</x:v>
      </x:c>
      <x:c r="G386" s="14" t="str">
        <x:v>Sivaganga</x:v>
      </x:c>
      <x:c r="H386" s="14" t="str">
        <x:v>N.A.</x:v>
      </x:c>
      <x:c r="I386" s="15" t="n">
        <x:v>138.2</x:v>
      </x:c>
      <x:c r="J386" s="16" t="n">
        <x:v>0.07135082839521102</x:v>
      </x:c>
      <x:c r="K386" s="15" t="n">
        <x:f>I386*J386</x:f>
        <x:v>9.860684484218162</x:v>
      </x:c>
      <x:c r="L386" s="20" t="str">
        <x:v>Others (districts not specified) [Biomass &amp; bagasse based cogen.]</x:v>
      </x:c>
      <x:c r="M386" s="20" t="str">
        <x:v>Proportional proxy using known Bio Power capacity by district in PlantInfo</x:v>
      </x:c>
      <x:c r="N386" s="20" t="str">
        <x:v>https://mnre.gov.in/en/physical-progress/</x:v>
      </x:c>
      <x:c r="O386" s="20" t="str">
        <x:v>Low</x:v>
      </x:c>
      <x:c r="P386" s="20" t="str">
        <x:v>This is a statewide/residual category, not a plant-level record. The allocation preserves the row total but is an analytical proxy, not an observed facility location.</x:v>
      </x:c>
    </x:row>
    <x:row r="387">
      <x:c r="A387" s="14" t="n">
        <x:v>251</x:v>
      </x:c>
      <x:c r="B387" s="14" t="str">
        <x:v>Bio Power</x:v>
      </x:c>
      <x:c r="C387" s="14" t="str">
        <x:v>operational</x:v>
      </x:c>
      <x:c r="D387" s="20" t="str">
        <x:v>Others (districts not specified) [Biomass &amp; bagasse based cogen.] Tamil Nadu N.A. 138.2</x:v>
      </x:c>
      <x:c r="E387" s="14" t="str">
        <x:v>Tamil Nadu</x:v>
      </x:c>
      <x:c r="F387" s="14" t="str">
        <x:v>N.A.</x:v>
      </x:c>
      <x:c r="G387" s="14" t="str">
        <x:v>Thanjavur</x:v>
      </x:c>
      <x:c r="H387" s="14" t="str">
        <x:v>N.A.</x:v>
      </x:c>
      <x:c r="I387" s="15" t="n">
        <x:v>138.2</x:v>
      </x:c>
      <x:c r="J387" s="16" t="n">
        <x:v>0.0627887289877857</x:v>
      </x:c>
      <x:c r="K387" s="15" t="n">
        <x:f>I387*J387</x:f>
        <x:v>8.677402346111984</x:v>
      </x:c>
      <x:c r="L387" s="20" t="str">
        <x:v>Others (districts not specified) [Biomass &amp; bagasse based cogen.]</x:v>
      </x:c>
      <x:c r="M387" s="20" t="str">
        <x:v>Proportional proxy using known Bio Power capacity by district in PlantInfo</x:v>
      </x:c>
      <x:c r="N387" s="20" t="str">
        <x:v>https://mnre.gov.in/en/physical-progress/</x:v>
      </x:c>
      <x:c r="O387" s="20" t="str">
        <x:v>Low</x:v>
      </x:c>
      <x:c r="P387" s="20" t="str">
        <x:v>This is a statewide/residual category, not a plant-level record. The allocation preserves the row total but is an analytical proxy, not an observed facility location.</x:v>
      </x:c>
    </x:row>
    <x:row r="388">
      <x:c r="A388" s="14" t="n">
        <x:v>251</x:v>
      </x:c>
      <x:c r="B388" s="14" t="str">
        <x:v>Bio Power</x:v>
      </x:c>
      <x:c r="C388" s="14" t="str">
        <x:v>operational</x:v>
      </x:c>
      <x:c r="D388" s="20" t="str">
        <x:v>Others (districts not specified) [Biomass &amp; bagasse based cogen.] Tamil Nadu N.A. 138.2</x:v>
      </x:c>
      <x:c r="E388" s="14" t="str">
        <x:v>Tamil Nadu</x:v>
      </x:c>
      <x:c r="F388" s="14" t="str">
        <x:v>N.A.</x:v>
      </x:c>
      <x:c r="G388" s="14" t="str">
        <x:v>Theni</x:v>
      </x:c>
      <x:c r="H388" s="14" t="str">
        <x:v>N.A.</x:v>
      </x:c>
      <x:c r="I388" s="15" t="n">
        <x:v>138.2</x:v>
      </x:c>
      <x:c r="J388" s="16" t="n">
        <x:v>0.019954045229169184</x:v>
      </x:c>
      <x:c r="K388" s="15" t="n">
        <x:f>I388*J388</x:f>
        <x:v>2.757649050671181</x:v>
      </x:c>
      <x:c r="L388" s="20" t="str">
        <x:v>Others (districts not specified) [Biomass &amp; bagasse based cogen.]</x:v>
      </x:c>
      <x:c r="M388" s="20" t="str">
        <x:v>Proportional proxy using known Bio Power capacity by district in PlantInfo</x:v>
      </x:c>
      <x:c r="N388" s="20" t="str">
        <x:v>https://mnre.gov.in/en/physical-progress/</x:v>
      </x:c>
      <x:c r="O388" s="20" t="str">
        <x:v>Low</x:v>
      </x:c>
      <x:c r="P388" s="20" t="str">
        <x:v>This is a statewide/residual category, not a plant-level record. The allocation preserves the row total but is an analytical proxy, not an observed facility location.</x:v>
      </x:c>
    </x:row>
    <x:row r="389">
      <x:c r="A389" s="14" t="n">
        <x:v>251</x:v>
      </x:c>
      <x:c r="B389" s="14" t="str">
        <x:v>Bio Power</x:v>
      </x:c>
      <x:c r="C389" s="14" t="str">
        <x:v>operational</x:v>
      </x:c>
      <x:c r="D389" s="20" t="str">
        <x:v>Others (districts not specified) [Biomass &amp; bagasse based cogen.] Tamil Nadu N.A. 138.2</x:v>
      </x:c>
      <x:c r="E389" s="14" t="str">
        <x:v>Tamil Nadu</x:v>
      </x:c>
      <x:c r="F389" s="14" t="str">
        <x:v>N.A.</x:v>
      </x:c>
      <x:c r="G389" s="14" t="str">
        <x:v>Thoothukudi</x:v>
      </x:c>
      <x:c r="H389" s="14" t="str">
        <x:v>N.A.</x:v>
      </x:c>
      <x:c r="I389" s="15" t="n">
        <x:v>138.2</x:v>
      </x:c>
      <x:c r="J389" s="16" t="n">
        <x:v>0.007256016446970612</x:v>
      </x:c>
      <x:c r="K389" s="15" t="n">
        <x:f>I389*J389</x:f>
        <x:v>1.0027814729713385</x:v>
      </x:c>
      <x:c r="L389" s="20" t="str">
        <x:v>Others (districts not specified) [Biomass &amp; bagasse based cogen.]</x:v>
      </x:c>
      <x:c r="M389" s="20" t="str">
        <x:v>Proportional proxy using known Bio Power capacity by district in PlantInfo</x:v>
      </x:c>
      <x:c r="N389" s="20" t="str">
        <x:v>https://mnre.gov.in/en/physical-progress/</x:v>
      </x:c>
      <x:c r="O389" s="20" t="str">
        <x:v>Low</x:v>
      </x:c>
      <x:c r="P389" s="20" t="str">
        <x:v>This is a statewide/residual category, not a plant-level record. The allocation preserves the row total but is an analytical proxy, not an observed facility location.</x:v>
      </x:c>
    </x:row>
    <x:row r="390">
      <x:c r="A390" s="14" t="n">
        <x:v>251</x:v>
      </x:c>
      <x:c r="B390" s="14" t="str">
        <x:v>Bio Power</x:v>
      </x:c>
      <x:c r="C390" s="14" t="str">
        <x:v>operational</x:v>
      </x:c>
      <x:c r="D390" s="20" t="str">
        <x:v>Others (districts not specified) [Biomass &amp; bagasse based cogen.] Tamil Nadu N.A. 138.2</x:v>
      </x:c>
      <x:c r="E390" s="14" t="str">
        <x:v>Tamil Nadu</x:v>
      </x:c>
      <x:c r="F390" s="14" t="str">
        <x:v>N.A.</x:v>
      </x:c>
      <x:c r="G390" s="14" t="str">
        <x:v>Tiruchirappalli</x:v>
      </x:c>
      <x:c r="H390" s="14" t="str">
        <x:v>N.A.</x:v>
      </x:c>
      <x:c r="I390" s="15" t="n">
        <x:v>138.2</x:v>
      </x:c>
      <x:c r="J390" s="16" t="n">
        <x:v>0.021768049340911838</x:v>
      </x:c>
      <x:c r="K390" s="15" t="n">
        <x:f>I390*J390</x:f>
        <x:v>3.0083444189140156</x:v>
      </x:c>
      <x:c r="L390" s="20" t="str">
        <x:v>Others (districts not specified) [Biomass &amp; bagasse based cogen.]</x:v>
      </x:c>
      <x:c r="M390" s="20" t="str">
        <x:v>Proportional proxy using known Bio Power capacity by district in PlantInfo</x:v>
      </x:c>
      <x:c r="N390" s="20" t="str">
        <x:v>https://mnre.gov.in/en/physical-progress/</x:v>
      </x:c>
      <x:c r="O390" s="20" t="str">
        <x:v>Low</x:v>
      </x:c>
      <x:c r="P390" s="20" t="str">
        <x:v>This is a statewide/residual category, not a plant-level record. The allocation preserves the row total but is an analytical proxy, not an observed facility location.</x:v>
      </x:c>
    </x:row>
    <x:row r="391">
      <x:c r="A391" s="14" t="n">
        <x:v>251</x:v>
      </x:c>
      <x:c r="B391" s="14" t="str">
        <x:v>Bio Power</x:v>
      </x:c>
      <x:c r="C391" s="14" t="str">
        <x:v>operational</x:v>
      </x:c>
      <x:c r="D391" s="20" t="str">
        <x:v>Others (districts not specified) [Biomass &amp; bagasse based cogen.] Tamil Nadu N.A. 138.2</x:v>
      </x:c>
      <x:c r="E391" s="14" t="str">
        <x:v>Tamil Nadu</x:v>
      </x:c>
      <x:c r="F391" s="14" t="str">
        <x:v>N.A.</x:v>
      </x:c>
      <x:c r="G391" s="14" t="str">
        <x:v>Tirunelveli</x:v>
      </x:c>
      <x:c r="H391" s="14" t="str">
        <x:v>N.A.</x:v>
      </x:c>
      <x:c r="I391" s="15" t="n">
        <x:v>138.2</x:v>
      </x:c>
      <x:c r="J391" s="16" t="n">
        <x:v>0.1209336074495102</x:v>
      </x:c>
      <x:c r="K391" s="15" t="n">
        <x:f>I391*J391</x:f>
        <x:v>16.71302454952231</x:v>
      </x:c>
      <x:c r="L391" s="20" t="str">
        <x:v>Others (districts not specified) [Biomass &amp; bagasse based cogen.]</x:v>
      </x:c>
      <x:c r="M391" s="20" t="str">
        <x:v>Proportional proxy using known Bio Power capacity by district in PlantInfo</x:v>
      </x:c>
      <x:c r="N391" s="20" t="str">
        <x:v>https://mnre.gov.in/en/physical-progress/</x:v>
      </x:c>
      <x:c r="O391" s="20" t="str">
        <x:v>Low</x:v>
      </x:c>
      <x:c r="P391" s="20" t="str">
        <x:v>This is a statewide/residual category, not a plant-level record. The allocation preserves the row total but is an analytical proxy, not an observed facility location.</x:v>
      </x:c>
    </x:row>
    <x:row r="392">
      <x:c r="A392" s="14" t="n">
        <x:v>251</x:v>
      </x:c>
      <x:c r="B392" s="14" t="str">
        <x:v>Bio Power</x:v>
      </x:c>
      <x:c r="C392" s="14" t="str">
        <x:v>operational</x:v>
      </x:c>
      <x:c r="D392" s="20" t="str">
        <x:v>Others (districts not specified) [Biomass &amp; bagasse based cogen.] Tamil Nadu N.A. 138.2</x:v>
      </x:c>
      <x:c r="E392" s="14" t="str">
        <x:v>Tamil Nadu</x:v>
      </x:c>
      <x:c r="F392" s="14" t="str">
        <x:v>N.A.</x:v>
      </x:c>
      <x:c r="G392" s="14" t="str">
        <x:v>Tiruvallur</x:v>
      </x:c>
      <x:c r="H392" s="14" t="str">
        <x:v>N.A.</x:v>
      </x:c>
      <x:c r="I392" s="15" t="n">
        <x:v>138.2</x:v>
      </x:c>
      <x:c r="J392" s="16" t="n">
        <x:v>0.00568387955012698</x:v>
      </x:c>
      <x:c r="K392" s="15" t="n">
        <x:f>I392*J392</x:f>
        <x:v>0.7855121538275486</x:v>
      </x:c>
      <x:c r="L392" s="20" t="str">
        <x:v>Others (districts not specified) [Biomass &amp; bagasse based cogen.]</x:v>
      </x:c>
      <x:c r="M392" s="20" t="str">
        <x:v>Proportional proxy using known Bio Power capacity by district in PlantInfo</x:v>
      </x:c>
      <x:c r="N392" s="20" t="str">
        <x:v>https://mnre.gov.in/en/physical-progress/</x:v>
      </x:c>
      <x:c r="O392" s="20" t="str">
        <x:v>Low</x:v>
      </x:c>
      <x:c r="P392" s="20" t="str">
        <x:v>This is a statewide/residual category, not a plant-level record. The allocation preserves the row total but is an analytical proxy, not an observed facility location.</x:v>
      </x:c>
    </x:row>
    <x:row r="393">
      <x:c r="A393" s="14" t="n">
        <x:v>251</x:v>
      </x:c>
      <x:c r="B393" s="14" t="str">
        <x:v>Bio Power</x:v>
      </x:c>
      <x:c r="C393" s="14" t="str">
        <x:v>operational</x:v>
      </x:c>
      <x:c r="D393" s="20" t="str">
        <x:v>Others (districts not specified) [Biomass &amp; bagasse based cogen.] Tamil Nadu N.A. 138.2</x:v>
      </x:c>
      <x:c r="E393" s="14" t="str">
        <x:v>Tamil Nadu</x:v>
      </x:c>
      <x:c r="F393" s="14" t="str">
        <x:v>N.A.</x:v>
      </x:c>
      <x:c r="G393" s="14" t="str">
        <x:v>Tiruvannamalai</x:v>
      </x:c>
      <x:c r="H393" s="14" t="str">
        <x:v>N.A.</x:v>
      </x:c>
      <x:c r="I393" s="15" t="n">
        <x:v>138.2</x:v>
      </x:c>
      <x:c r="J393" s="16" t="n">
        <x:v>0.09408634659571893</x:v>
      </x:c>
      <x:c r="K393" s="15" t="n">
        <x:f>I393*J393</x:f>
        <x:v>13.002733099528356</x:v>
      </x:c>
      <x:c r="L393" s="20" t="str">
        <x:v>Others (districts not specified) [Biomass &amp; bagasse based cogen.]</x:v>
      </x:c>
      <x:c r="M393" s="20" t="str">
        <x:v>Proportional proxy using known Bio Power capacity by district in PlantInfo</x:v>
      </x:c>
      <x:c r="N393" s="20" t="str">
        <x:v>https://mnre.gov.in/en/physical-progress/</x:v>
      </x:c>
      <x:c r="O393" s="20" t="str">
        <x:v>Low</x:v>
      </x:c>
      <x:c r="P393" s="20" t="str">
        <x:v>This is a statewide/residual category, not a plant-level record. The allocation preserves the row total but is an analytical proxy, not an observed facility location.</x:v>
      </x:c>
    </x:row>
    <x:row r="394">
      <x:c r="A394" s="14" t="n">
        <x:v>251</x:v>
      </x:c>
      <x:c r="B394" s="14" t="str">
        <x:v>Bio Power</x:v>
      </x:c>
      <x:c r="C394" s="14" t="str">
        <x:v>operational</x:v>
      </x:c>
      <x:c r="D394" s="20" t="str">
        <x:v>Others (districts not specified) [Biomass &amp; bagasse based cogen.] Tamil Nadu N.A. 138.2</x:v>
      </x:c>
      <x:c r="E394" s="14" t="str">
        <x:v>Tamil Nadu</x:v>
      </x:c>
      <x:c r="F394" s="14" t="str">
        <x:v>N.A.</x:v>
      </x:c>
      <x:c r="G394" s="14" t="str">
        <x:v>Viluppuram</x:v>
      </x:c>
      <x:c r="H394" s="14" t="str">
        <x:v>N.A.</x:v>
      </x:c>
      <x:c r="I394" s="15" t="n">
        <x:v>138.2</x:v>
      </x:c>
      <x:c r="J394" s="16" t="n">
        <x:v>0.07739750876768653</x:v>
      </x:c>
      <x:c r="K394" s="15" t="n">
        <x:f>I394*J394</x:f>
        <x:v>10.696335711694278</x:v>
      </x:c>
      <x:c r="L394" s="20" t="str">
        <x:v>Others (districts not specified) [Biomass &amp; bagasse based cogen.]</x:v>
      </x:c>
      <x:c r="M394" s="20" t="str">
        <x:v>Proportional proxy using known Bio Power capacity by district in PlantInfo</x:v>
      </x:c>
      <x:c r="N394" s="20" t="str">
        <x:v>https://mnre.gov.in/en/physical-progress/</x:v>
      </x:c>
      <x:c r="O394" s="20" t="str">
        <x:v>Low</x:v>
      </x:c>
      <x:c r="P394" s="20" t="str">
        <x:v>This is a statewide/residual category, not a plant-level record. The allocation preserves the row total but is an analytical proxy, not an observed facility location.</x:v>
      </x:c>
    </x:row>
    <x:row r="395">
      <x:c r="A395" s="14" t="n">
        <x:v>251</x:v>
      </x:c>
      <x:c r="B395" s="14" t="str">
        <x:v>Bio Power</x:v>
      </x:c>
      <x:c r="C395" s="14" t="str">
        <x:v>operational</x:v>
      </x:c>
      <x:c r="D395" s="20" t="str">
        <x:v>Others (districts not specified) [Biomass &amp; bagasse based cogen.] Tamil Nadu N.A. 138.2</x:v>
      </x:c>
      <x:c r="E395" s="14" t="str">
        <x:v>Tamil Nadu</x:v>
      </x:c>
      <x:c r="F395" s="14" t="str">
        <x:v>N.A.</x:v>
      </x:c>
      <x:c r="G395" s="14" t="str">
        <x:v>Virudhunagar</x:v>
      </x:c>
      <x:c r="H395" s="14" t="str">
        <x:v>N.A.</x:v>
      </x:c>
      <x:c r="I395" s="15" t="n">
        <x:v>138.2</x:v>
      </x:c>
      <x:c r="J395" s="16" t="n">
        <x:v>0.018079574313701774</x:v>
      </x:c>
      <x:c r="K395" s="15" t="n">
        <x:f>I395*J395</x:f>
        <x:v>2.4985971701535847</x:v>
      </x:c>
      <x:c r="L395" s="20" t="str">
        <x:v>Others (districts not specified) [Biomass &amp; bagasse based cogen.]</x:v>
      </x:c>
      <x:c r="M395" s="20" t="str">
        <x:v>Proportional proxy using known Bio Power capacity by district in PlantInfo</x:v>
      </x:c>
      <x:c r="N395" s="20" t="str">
        <x:v>https://mnre.gov.in/en/physical-progress/</x:v>
      </x:c>
      <x:c r="O395" s="20" t="str">
        <x:v>Low</x:v>
      </x:c>
      <x:c r="P395" s="20" t="str">
        <x:v>This is a statewide/residual category, not a plant-level record. The allocation preserves the row total but is an analytical proxy, not an observed facility location.</x:v>
      </x:c>
    </x:row>
    <x:row r="396">
      <x:c r="A396" s="14" t="n">
        <x:v>252</x:v>
      </x:c>
      <x:c r="B396" s="14" t="str">
        <x:v>Bio Power</x:v>
      </x:c>
      <x:c r="C396" s="14" t="str">
        <x:v>operational</x:v>
      </x:c>
      <x:c r="D396" s="20" t="str">
        <x:v>Others (districts not specified) [Non-Bagasse based cogen.] Tamil Nadu N.A. 525</x:v>
      </x:c>
      <x:c r="E396" s="14" t="str">
        <x:v>Tamil Nadu</x:v>
      </x:c>
      <x:c r="F396" s="14" t="str">
        <x:v>N.A.</x:v>
      </x:c>
      <x:c r="G396" s="14" t="str">
        <x:v>Chennai</x:v>
      </x:c>
      <x:c r="H396" s="14" t="str">
        <x:v>N.A.</x:v>
      </x:c>
      <x:c r="I396" s="15" t="n">
        <x:v>52.05</x:v>
      </x:c>
      <x:c r="J396" s="16" t="n">
        <x:v>0.0003023340186237755</x:v>
      </x:c>
      <x:c r="K396" s="15" t="n">
        <x:f>I396*J396</x:f>
        <x:v>0.015736485669367514</x:v>
      </x:c>
      <x:c r="L396" s="20" t="str">
        <x:v>Others (districts not specified) [Non-Bagasse based cogen.]</x:v>
      </x:c>
      <x:c r="M396" s="20" t="str">
        <x:v>Proportional proxy using known Bio Power capacity by district in PlantInfo</x:v>
      </x:c>
      <x:c r="N396" s="20" t="str">
        <x:v>https://mnre.gov.in/en/physical-progress/</x:v>
      </x:c>
      <x:c r="O396" s="20" t="str">
        <x:v>Low</x:v>
      </x:c>
      <x:c r="P396" s="20" t="str">
        <x:v>This is a statewide/residual category, not a plant-level record. The allocation preserves the row total but is an analytical proxy, not an observed facility location.</x:v>
      </x:c>
    </x:row>
    <x:row r="397">
      <x:c r="A397" s="14" t="n">
        <x:v>252</x:v>
      </x:c>
      <x:c r="B397" s="14" t="str">
        <x:v>Bio Power</x:v>
      </x:c>
      <x:c r="C397" s="14" t="str">
        <x:v>operational</x:v>
      </x:c>
      <x:c r="D397" s="20" t="str">
        <x:v>Others (districts not specified) [Non-Bagasse based cogen.] Tamil Nadu N.A. 525</x:v>
      </x:c>
      <x:c r="E397" s="14" t="str">
        <x:v>Tamil Nadu</x:v>
      </x:c>
      <x:c r="F397" s="14" t="str">
        <x:v>N.A.</x:v>
      </x:c>
      <x:c r="G397" s="14" t="str">
        <x:v>Coimbatore</x:v>
      </x:c>
      <x:c r="H397" s="14" t="str">
        <x:v>N.A.</x:v>
      </x:c>
      <x:c r="I397" s="15" t="n">
        <x:v>52.05</x:v>
      </x:c>
      <x:c r="J397" s="16" t="n">
        <x:v>0.014028298464143184</x:v>
      </x:c>
      <x:c r="K397" s="15" t="n">
        <x:f>I397*J397</x:f>
        <x:v>0.7301729350586527</x:v>
      </x:c>
      <x:c r="L397" s="20" t="str">
        <x:v>Others (districts not specified) [Non-Bagasse based cogen.]</x:v>
      </x:c>
      <x:c r="M397" s="20" t="str">
        <x:v>Proportional proxy using known Bio Power capacity by district in PlantInfo</x:v>
      </x:c>
      <x:c r="N397" s="20" t="str">
        <x:v>https://mnre.gov.in/en/physical-progress/</x:v>
      </x:c>
      <x:c r="O397" s="20" t="str">
        <x:v>Low</x:v>
      </x:c>
      <x:c r="P397" s="20" t="str">
        <x:v>This is a statewide/residual category, not a plant-level record. The allocation preserves the row total but is an analytical proxy, not an observed facility location.</x:v>
      </x:c>
    </x:row>
    <x:row r="398">
      <x:c r="A398" s="14" t="n">
        <x:v>252</x:v>
      </x:c>
      <x:c r="B398" s="14" t="str">
        <x:v>Bio Power</x:v>
      </x:c>
      <x:c r="C398" s="14" t="str">
        <x:v>operational</x:v>
      </x:c>
      <x:c r="D398" s="20" t="str">
        <x:v>Others (districts not specified) [Non-Bagasse based cogen.] Tamil Nadu N.A. 525</x:v>
      </x:c>
      <x:c r="E398" s="14" t="str">
        <x:v>Tamil Nadu</x:v>
      </x:c>
      <x:c r="F398" s="14" t="str">
        <x:v>N.A.</x:v>
      </x:c>
      <x:c r="G398" s="14" t="str">
        <x:v>Cuddalore</x:v>
      </x:c>
      <x:c r="H398" s="14" t="str">
        <x:v>N.A.</x:v>
      </x:c>
      <x:c r="I398" s="15" t="n">
        <x:v>52.05</x:v>
      </x:c>
      <x:c r="J398" s="16" t="n">
        <x:v>0.10966259523521586</x:v>
      </x:c>
      <x:c r="K398" s="15" t="n">
        <x:f>I398*J398</x:f>
        <x:v>5.707938081992985</x:v>
      </x:c>
      <x:c r="L398" s="20" t="str">
        <x:v>Others (districts not specified) [Non-Bagasse based cogen.]</x:v>
      </x:c>
      <x:c r="M398" s="20" t="str">
        <x:v>Proportional proxy using known Bio Power capacity by district in PlantInfo</x:v>
      </x:c>
      <x:c r="N398" s="20" t="str">
        <x:v>https://mnre.gov.in/en/physical-progress/</x:v>
      </x:c>
      <x:c r="O398" s="20" t="str">
        <x:v>Low</x:v>
      </x:c>
      <x:c r="P398" s="20" t="str">
        <x:v>This is a statewide/residual category, not a plant-level record. The allocation preserves the row total but is an analytical proxy, not an observed facility location.</x:v>
      </x:c>
    </x:row>
    <x:row r="399">
      <x:c r="A399" s="14" t="n">
        <x:v>252</x:v>
      </x:c>
      <x:c r="B399" s="14" t="str">
        <x:v>Bio Power</x:v>
      </x:c>
      <x:c r="C399" s="14" t="str">
        <x:v>operational</x:v>
      </x:c>
      <x:c r="D399" s="20" t="str">
        <x:v>Others (districts not specified) [Non-Bagasse based cogen.] Tamil Nadu N.A. 525</x:v>
      </x:c>
      <x:c r="E399" s="14" t="str">
        <x:v>Tamil Nadu</x:v>
      </x:c>
      <x:c r="F399" s="14" t="str">
        <x:v>N.A.</x:v>
      </x:c>
      <x:c r="G399" s="14" t="str">
        <x:v>Dharmapuri</x:v>
      </x:c>
      <x:c r="H399" s="14" t="str">
        <x:v>N.A.</x:v>
      </x:c>
      <x:c r="I399" s="15" t="n">
        <x:v>52.05</x:v>
      </x:c>
      <x:c r="J399" s="16" t="n">
        <x:v>0.01814004111742653</x:v>
      </x:c>
      <x:c r="K399" s="15" t="n">
        <x:f>I399*J399</x:f>
        <x:v>0.9441891401620508</x:v>
      </x:c>
      <x:c r="L399" s="20" t="str">
        <x:v>Others (districts not specified) [Non-Bagasse based cogen.]</x:v>
      </x:c>
      <x:c r="M399" s="20" t="str">
        <x:v>Proportional proxy using known Bio Power capacity by district in PlantInfo</x:v>
      </x:c>
      <x:c r="N399" s="20" t="str">
        <x:v>https://mnre.gov.in/en/physical-progress/</x:v>
      </x:c>
      <x:c r="O399" s="20" t="str">
        <x:v>Low</x:v>
      </x:c>
      <x:c r="P399" s="20" t="str">
        <x:v>This is a statewide/residual category, not a plant-level record. The allocation preserves the row total but is an analytical proxy, not an observed facility location.</x:v>
      </x:c>
    </x:row>
    <x:row r="400">
      <x:c r="A400" s="14" t="n">
        <x:v>252</x:v>
      </x:c>
      <x:c r="B400" s="14" t="str">
        <x:v>Bio Power</x:v>
      </x:c>
      <x:c r="C400" s="14" t="str">
        <x:v>operational</x:v>
      </x:c>
      <x:c r="D400" s="20" t="str">
        <x:v>Others (districts not specified) [Non-Bagasse based cogen.] Tamil Nadu N.A. 525</x:v>
      </x:c>
      <x:c r="E400" s="14" t="str">
        <x:v>Tamil Nadu</x:v>
      </x:c>
      <x:c r="F400" s="14" t="str">
        <x:v>N.A.</x:v>
      </x:c>
      <x:c r="G400" s="14" t="str">
        <x:v>Dindigul</x:v>
      </x:c>
      <x:c r="H400" s="14" t="str">
        <x:v>N.A.</x:v>
      </x:c>
      <x:c r="I400" s="15" t="n">
        <x:v>52.05</x:v>
      </x:c>
      <x:c r="J400" s="16" t="n">
        <x:v>0.009070020558713265</x:v>
      </x:c>
      <x:c r="K400" s="15" t="n">
        <x:f>I400*J400</x:f>
        <x:v>0.4720945700810254</x:v>
      </x:c>
      <x:c r="L400" s="20" t="str">
        <x:v>Others (districts not specified) [Non-Bagasse based cogen.]</x:v>
      </x:c>
      <x:c r="M400" s="20" t="str">
        <x:v>Proportional proxy using known Bio Power capacity by district in PlantInfo</x:v>
      </x:c>
      <x:c r="N400" s="20" t="str">
        <x:v>https://mnre.gov.in/en/physical-progress/</x:v>
      </x:c>
      <x:c r="O400" s="20" t="str">
        <x:v>Low</x:v>
      </x:c>
      <x:c r="P400" s="20" t="str">
        <x:v>This is a statewide/residual category, not a plant-level record. The allocation preserves the row total but is an analytical proxy, not an observed facility location.</x:v>
      </x:c>
    </x:row>
    <x:row r="401">
      <x:c r="A401" s="14" t="n">
        <x:v>252</x:v>
      </x:c>
      <x:c r="B401" s="14" t="str">
        <x:v>Bio Power</x:v>
      </x:c>
      <x:c r="C401" s="14" t="str">
        <x:v>operational</x:v>
      </x:c>
      <x:c r="D401" s="20" t="str">
        <x:v>Others (districts not specified) [Non-Bagasse based cogen.] Tamil Nadu N.A. 525</x:v>
      </x:c>
      <x:c r="E401" s="14" t="str">
        <x:v>Tamil Nadu</x:v>
      </x:c>
      <x:c r="F401" s="14" t="str">
        <x:v>N.A.</x:v>
      </x:c>
      <x:c r="G401" s="14" t="str">
        <x:v>Erode</x:v>
      </x:c>
      <x:c r="H401" s="14" t="str">
        <x:v>N.A.</x:v>
      </x:c>
      <x:c r="I401" s="15" t="n">
        <x:v>52.05</x:v>
      </x:c>
      <x:c r="J401" s="16" t="n">
        <x:v>0.1173055992260249</x:v>
      </x:c>
      <x:c r="K401" s="15" t="n">
        <x:f>I401*J401</x:f>
        <x:v>6.105756439714596</x:v>
      </x:c>
      <x:c r="L401" s="20" t="str">
        <x:v>Others (districts not specified) [Non-Bagasse based cogen.]</x:v>
      </x:c>
      <x:c r="M401" s="20" t="str">
        <x:v>Proportional proxy using known Bio Power capacity by district in PlantInfo</x:v>
      </x:c>
      <x:c r="N401" s="20" t="str">
        <x:v>https://mnre.gov.in/en/physical-progress/</x:v>
      </x:c>
      <x:c r="O401" s="20" t="str">
        <x:v>Low</x:v>
      </x:c>
      <x:c r="P401" s="20" t="str">
        <x:v>This is a statewide/residual category, not a plant-level record. The allocation preserves the row total but is an analytical proxy, not an observed facility location.</x:v>
      </x:c>
    </x:row>
    <x:row r="402">
      <x:c r="A402" s="14" t="n">
        <x:v>252</x:v>
      </x:c>
      <x:c r="B402" s="14" t="str">
        <x:v>Bio Power</x:v>
      </x:c>
      <x:c r="C402" s="14" t="str">
        <x:v>operational</x:v>
      </x:c>
      <x:c r="D402" s="20" t="str">
        <x:v>Others (districts not specified) [Non-Bagasse based cogen.] Tamil Nadu N.A. 525</x:v>
      </x:c>
      <x:c r="E402" s="14" t="str">
        <x:v>Tamil Nadu</x:v>
      </x:c>
      <x:c r="F402" s="14" t="str">
        <x:v>N.A.</x:v>
      </x:c>
      <x:c r="G402" s="14" t="str">
        <x:v>Kanchipuram</x:v>
      </x:c>
      <x:c r="H402" s="14" t="str">
        <x:v>N.A.</x:v>
      </x:c>
      <x:c r="I402" s="15" t="n">
        <x:v>52.05</x:v>
      </x:c>
      <x:c r="J402" s="16" t="n">
        <x:v>0.07618817269319143</x:v>
      </x:c>
      <x:c r="K402" s="15" t="n">
        <x:f>I402*J402</x:f>
        <x:v>3.9655943886806138</x:v>
      </x:c>
      <x:c r="L402" s="20" t="str">
        <x:v>Others (districts not specified) [Non-Bagasse based cogen.]</x:v>
      </x:c>
      <x:c r="M402" s="20" t="str">
        <x:v>Proportional proxy using known Bio Power capacity by district in PlantInfo</x:v>
      </x:c>
      <x:c r="N402" s="20" t="str">
        <x:v>https://mnre.gov.in/en/physical-progress/</x:v>
      </x:c>
      <x:c r="O402" s="20" t="str">
        <x:v>Low</x:v>
      </x:c>
      <x:c r="P402" s="20" t="str">
        <x:v>This is a statewide/residual category, not a plant-level record. The allocation preserves the row total but is an analytical proxy, not an observed facility location.</x:v>
      </x:c>
    </x:row>
    <x:row r="403">
      <x:c r="A403" s="14" t="n">
        <x:v>252</x:v>
      </x:c>
      <x:c r="B403" s="14" t="str">
        <x:v>Bio Power</x:v>
      </x:c>
      <x:c r="C403" s="14" t="str">
        <x:v>operational</x:v>
      </x:c>
      <x:c r="D403" s="20" t="str">
        <x:v>Others (districts not specified) [Non-Bagasse based cogen.] Tamil Nadu N.A. 525</x:v>
      </x:c>
      <x:c r="E403" s="14" t="str">
        <x:v>Tamil Nadu</x:v>
      </x:c>
      <x:c r="F403" s="14" t="str">
        <x:v>N.A.</x:v>
      </x:c>
      <x:c r="G403" s="14" t="str">
        <x:v>Karur</x:v>
      </x:c>
      <x:c r="H403" s="14" t="str">
        <x:v>N.A.</x:v>
      </x:c>
      <x:c r="I403" s="15" t="n">
        <x:v>52.05</x:v>
      </x:c>
      <x:c r="J403" s="16" t="n">
        <x:v>0.026605393638892246</x:v>
      </x:c>
      <x:c r="K403" s="15" t="n">
        <x:f>I403*J403</x:f>
        <x:v>1.3848107389043414</x:v>
      </x:c>
      <x:c r="L403" s="20" t="str">
        <x:v>Others (districts not specified) [Non-Bagasse based cogen.]</x:v>
      </x:c>
      <x:c r="M403" s="20" t="str">
        <x:v>Proportional proxy using known Bio Power capacity by district in PlantInfo</x:v>
      </x:c>
      <x:c r="N403" s="20" t="str">
        <x:v>https://mnre.gov.in/en/physical-progress/</x:v>
      </x:c>
      <x:c r="O403" s="20" t="str">
        <x:v>Low</x:v>
      </x:c>
      <x:c r="P403" s="20" t="str">
        <x:v>This is a statewide/residual category, not a plant-level record. The allocation preserves the row total but is an analytical proxy, not an observed facility location.</x:v>
      </x:c>
    </x:row>
    <x:row r="404">
      <x:c r="A404" s="14" t="n">
        <x:v>252</x:v>
      </x:c>
      <x:c r="B404" s="14" t="str">
        <x:v>Bio Power</x:v>
      </x:c>
      <x:c r="C404" s="14" t="str">
        <x:v>operational</x:v>
      </x:c>
      <x:c r="D404" s="20" t="str">
        <x:v>Others (districts not specified) [Non-Bagasse based cogen.] Tamil Nadu N.A. 525</x:v>
      </x:c>
      <x:c r="E404" s="14" t="str">
        <x:v>Tamil Nadu</x:v>
      </x:c>
      <x:c r="F404" s="14" t="str">
        <x:v>N.A.</x:v>
      </x:c>
      <x:c r="G404" s="14" t="str">
        <x:v>Madurai</x:v>
      </x:c>
      <x:c r="H404" s="14" t="str">
        <x:v>N.A.</x:v>
      </x:c>
      <x:c r="I404" s="15" t="n">
        <x:v>52.05</x:v>
      </x:c>
      <x:c r="J404" s="16" t="n">
        <x:v>0.01209336074495102</x:v>
      </x:c>
      <x:c r="K404" s="15" t="n">
        <x:f>I404*J404</x:f>
        <x:v>0.6294594267747006</x:v>
      </x:c>
      <x:c r="L404" s="20" t="str">
        <x:v>Others (districts not specified) [Non-Bagasse based cogen.]</x:v>
      </x:c>
      <x:c r="M404" s="20" t="str">
        <x:v>Proportional proxy using known Bio Power capacity by district in PlantInfo</x:v>
      </x:c>
      <x:c r="N404" s="20" t="str">
        <x:v>https://mnre.gov.in/en/physical-progress/</x:v>
      </x:c>
      <x:c r="O404" s="20" t="str">
        <x:v>Low</x:v>
      </x:c>
      <x:c r="P404" s="20" t="str">
        <x:v>This is a statewide/residual category, not a plant-level record. The allocation preserves the row total but is an analytical proxy, not an observed facility location.</x:v>
      </x:c>
    </x:row>
    <x:row r="405">
      <x:c r="A405" s="14" t="n">
        <x:v>252</x:v>
      </x:c>
      <x:c r="B405" s="14" t="str">
        <x:v>Bio Power</x:v>
      </x:c>
      <x:c r="C405" s="14" t="str">
        <x:v>operational</x:v>
      </x:c>
      <x:c r="D405" s="20" t="str">
        <x:v>Others (districts not specified) [Non-Bagasse based cogen.] Tamil Nadu N.A. 525</x:v>
      </x:c>
      <x:c r="E405" s="14" t="str">
        <x:v>Tamil Nadu</x:v>
      </x:c>
      <x:c r="F405" s="14" t="str">
        <x:v>N.A.</x:v>
      </x:c>
      <x:c r="G405" s="14" t="str">
        <x:v>Namakkal</x:v>
      </x:c>
      <x:c r="H405" s="14" t="str">
        <x:v>N.A.</x:v>
      </x:c>
      <x:c r="I405" s="15" t="n">
        <x:v>52.05</x:v>
      </x:c>
      <x:c r="J405" s="16" t="n">
        <x:v>0.003023340186237755</x:v>
      </x:c>
      <x:c r="K405" s="15" t="n">
        <x:f>I405*J405</x:f>
        <x:v>0.15736485669367514</x:v>
      </x:c>
      <x:c r="L405" s="20" t="str">
        <x:v>Others (districts not specified) [Non-Bagasse based cogen.]</x:v>
      </x:c>
      <x:c r="M405" s="20" t="str">
        <x:v>Proportional proxy using known Bio Power capacity by district in PlantInfo</x:v>
      </x:c>
      <x:c r="N405" s="20" t="str">
        <x:v>https://mnre.gov.in/en/physical-progress/</x:v>
      </x:c>
      <x:c r="O405" s="20" t="str">
        <x:v>Low</x:v>
      </x:c>
      <x:c r="P405" s="20" t="str">
        <x:v>This is a statewide/residual category, not a plant-level record. The allocation preserves the row total but is an analytical proxy, not an observed facility location.</x:v>
      </x:c>
    </x:row>
    <x:row r="406">
      <x:c r="A406" s="14" t="n">
        <x:v>252</x:v>
      </x:c>
      <x:c r="B406" s="14" t="str">
        <x:v>Bio Power</x:v>
      </x:c>
      <x:c r="C406" s="14" t="str">
        <x:v>operational</x:v>
      </x:c>
      <x:c r="D406" s="20" t="str">
        <x:v>Others (districts not specified) [Non-Bagasse based cogen.] Tamil Nadu N.A. 525</x:v>
      </x:c>
      <x:c r="E406" s="14" t="str">
        <x:v>Tamil Nadu</x:v>
      </x:c>
      <x:c r="F406" s="14" t="str">
        <x:v>N.A.</x:v>
      </x:c>
      <x:c r="G406" s="14" t="str">
        <x:v>Perambalur</x:v>
      </x:c>
      <x:c r="H406" s="14" t="str">
        <x:v>N.A.</x:v>
      </x:c>
      <x:c r="I406" s="15" t="n">
        <x:v>52.05</x:v>
      </x:c>
      <x:c r="J406" s="16" t="n">
        <x:v>0.07135082839521102</x:v>
      </x:c>
      <x:c r="K406" s="15" t="n">
        <x:f>I406*J406</x:f>
        <x:v>3.7138106179707333</x:v>
      </x:c>
      <x:c r="L406" s="20" t="str">
        <x:v>Others (districts not specified) [Non-Bagasse based cogen.]</x:v>
      </x:c>
      <x:c r="M406" s="20" t="str">
        <x:v>Proportional proxy using known Bio Power capacity by district in PlantInfo</x:v>
      </x:c>
      <x:c r="N406" s="20" t="str">
        <x:v>https://mnre.gov.in/en/physical-progress/</x:v>
      </x:c>
      <x:c r="O406" s="20" t="str">
        <x:v>Low</x:v>
      </x:c>
      <x:c r="P406" s="20" t="str">
        <x:v>This is a statewide/residual category, not a plant-level record. The allocation preserves the row total but is an analytical proxy, not an observed facility location.</x:v>
      </x:c>
    </x:row>
    <x:row r="407">
      <x:c r="A407" s="14" t="n">
        <x:v>252</x:v>
      </x:c>
      <x:c r="B407" s="14" t="str">
        <x:v>Bio Power</x:v>
      </x:c>
      <x:c r="C407" s="14" t="str">
        <x:v>operational</x:v>
      </x:c>
      <x:c r="D407" s="20" t="str">
        <x:v>Others (districts not specified) [Non-Bagasse based cogen.] Tamil Nadu N.A. 525</x:v>
      </x:c>
      <x:c r="E407" s="14" t="str">
        <x:v>Tamil Nadu</x:v>
      </x:c>
      <x:c r="F407" s="14" t="str">
        <x:v>N.A.</x:v>
      </x:c>
      <x:c r="G407" s="14" t="str">
        <x:v>Pudukkottai</x:v>
      </x:c>
      <x:c r="H407" s="14" t="str">
        <x:v>N.A.</x:v>
      </x:c>
      <x:c r="I407" s="15" t="n">
        <x:v>52.05</x:v>
      </x:c>
      <x:c r="J407" s="16" t="n">
        <x:v>0.04293143064457612</x:v>
      </x:c>
      <x:c r="K407" s="15" t="n">
        <x:f>I407*J407</x:f>
        <x:v>2.234580965050187</x:v>
      </x:c>
      <x:c r="L407" s="20" t="str">
        <x:v>Others (districts not specified) [Non-Bagasse based cogen.]</x:v>
      </x:c>
      <x:c r="M407" s="20" t="str">
        <x:v>Proportional proxy using known Bio Power capacity by district in PlantInfo</x:v>
      </x:c>
      <x:c r="N407" s="20" t="str">
        <x:v>https://mnre.gov.in/en/physical-progress/</x:v>
      </x:c>
      <x:c r="O407" s="20" t="str">
        <x:v>Low</x:v>
      </x:c>
      <x:c r="P407" s="20" t="str">
        <x:v>This is a statewide/residual category, not a plant-level record. The allocation preserves the row total but is an analytical proxy, not an observed facility location.</x:v>
      </x:c>
    </x:row>
    <x:row r="408">
      <x:c r="A408" s="14" t="n">
        <x:v>252</x:v>
      </x:c>
      <x:c r="B408" s="14" t="str">
        <x:v>Bio Power</x:v>
      </x:c>
      <x:c r="C408" s="14" t="str">
        <x:v>operational</x:v>
      </x:c>
      <x:c r="D408" s="20" t="str">
        <x:v>Others (districts not specified) [Non-Bagasse based cogen.] Tamil Nadu N.A. 525</x:v>
      </x:c>
      <x:c r="E408" s="14" t="str">
        <x:v>Tamil Nadu</x:v>
      </x:c>
      <x:c r="F408" s="14" t="str">
        <x:v>N.A.</x:v>
      </x:c>
      <x:c r="G408" s="14" t="str">
        <x:v>Sivaganga</x:v>
      </x:c>
      <x:c r="H408" s="14" t="str">
        <x:v>N.A.</x:v>
      </x:c>
      <x:c r="I408" s="15" t="n">
        <x:v>52.05</x:v>
      </x:c>
      <x:c r="J408" s="16" t="n">
        <x:v>0.07135082839521102</x:v>
      </x:c>
      <x:c r="K408" s="15" t="n">
        <x:f>I408*J408</x:f>
        <x:v>3.7138106179707333</x:v>
      </x:c>
      <x:c r="L408" s="20" t="str">
        <x:v>Others (districts not specified) [Non-Bagasse based cogen.]</x:v>
      </x:c>
      <x:c r="M408" s="20" t="str">
        <x:v>Proportional proxy using known Bio Power capacity by district in PlantInfo</x:v>
      </x:c>
      <x:c r="N408" s="20" t="str">
        <x:v>https://mnre.gov.in/en/physical-progress/</x:v>
      </x:c>
      <x:c r="O408" s="20" t="str">
        <x:v>Low</x:v>
      </x:c>
      <x:c r="P408" s="20" t="str">
        <x:v>This is a statewide/residual category, not a plant-level record. The allocation preserves the row total but is an analytical proxy, not an observed facility location.</x:v>
      </x:c>
    </x:row>
    <x:row r="409">
      <x:c r="A409" s="14" t="n">
        <x:v>252</x:v>
      </x:c>
      <x:c r="B409" s="14" t="str">
        <x:v>Bio Power</x:v>
      </x:c>
      <x:c r="C409" s="14" t="str">
        <x:v>operational</x:v>
      </x:c>
      <x:c r="D409" s="20" t="str">
        <x:v>Others (districts not specified) [Non-Bagasse based cogen.] Tamil Nadu N.A. 525</x:v>
      </x:c>
      <x:c r="E409" s="14" t="str">
        <x:v>Tamil Nadu</x:v>
      </x:c>
      <x:c r="F409" s="14" t="str">
        <x:v>N.A.</x:v>
      </x:c>
      <x:c r="G409" s="14" t="str">
        <x:v>Thanjavur</x:v>
      </x:c>
      <x:c r="H409" s="14" t="str">
        <x:v>N.A.</x:v>
      </x:c>
      <x:c r="I409" s="15" t="n">
        <x:v>52.05</x:v>
      </x:c>
      <x:c r="J409" s="16" t="n">
        <x:v>0.0627887289877857</x:v>
      </x:c>
      <x:c r="K409" s="15" t="n">
        <x:f>I409*J409</x:f>
        <x:v>3.268153343814246</x:v>
      </x:c>
      <x:c r="L409" s="20" t="str">
        <x:v>Others (districts not specified) [Non-Bagasse based cogen.]</x:v>
      </x:c>
      <x:c r="M409" s="20" t="str">
        <x:v>Proportional proxy using known Bio Power capacity by district in PlantInfo</x:v>
      </x:c>
      <x:c r="N409" s="20" t="str">
        <x:v>https://mnre.gov.in/en/physical-progress/</x:v>
      </x:c>
      <x:c r="O409" s="20" t="str">
        <x:v>Low</x:v>
      </x:c>
      <x:c r="P409" s="20" t="str">
        <x:v>This is a statewide/residual category, not a plant-level record. The allocation preserves the row total but is an analytical proxy, not an observed facility location.</x:v>
      </x:c>
    </x:row>
    <x:row r="410">
      <x:c r="A410" s="14" t="n">
        <x:v>252</x:v>
      </x:c>
      <x:c r="B410" s="14" t="str">
        <x:v>Bio Power</x:v>
      </x:c>
      <x:c r="C410" s="14" t="str">
        <x:v>operational</x:v>
      </x:c>
      <x:c r="D410" s="20" t="str">
        <x:v>Others (districts not specified) [Non-Bagasse based cogen.] Tamil Nadu N.A. 525</x:v>
      </x:c>
      <x:c r="E410" s="14" t="str">
        <x:v>Tamil Nadu</x:v>
      </x:c>
      <x:c r="F410" s="14" t="str">
        <x:v>N.A.</x:v>
      </x:c>
      <x:c r="G410" s="14" t="str">
        <x:v>Theni</x:v>
      </x:c>
      <x:c r="H410" s="14" t="str">
        <x:v>N.A.</x:v>
      </x:c>
      <x:c r="I410" s="15" t="n">
        <x:v>52.05</x:v>
      </x:c>
      <x:c r="J410" s="16" t="n">
        <x:v>0.019954045229169184</x:v>
      </x:c>
      <x:c r="K410" s="15" t="n">
        <x:f>I410*J410</x:f>
        <x:v>1.0386080541782559</x:v>
      </x:c>
      <x:c r="L410" s="20" t="str">
        <x:v>Others (districts not specified) [Non-Bagasse based cogen.]</x:v>
      </x:c>
      <x:c r="M410" s="20" t="str">
        <x:v>Proportional proxy using known Bio Power capacity by district in PlantInfo</x:v>
      </x:c>
      <x:c r="N410" s="20" t="str">
        <x:v>https://mnre.gov.in/en/physical-progress/</x:v>
      </x:c>
      <x:c r="O410" s="20" t="str">
        <x:v>Low</x:v>
      </x:c>
      <x:c r="P410" s="20" t="str">
        <x:v>This is a statewide/residual category, not a plant-level record. The allocation preserves the row total but is an analytical proxy, not an observed facility location.</x:v>
      </x:c>
    </x:row>
    <x:row r="411">
      <x:c r="A411" s="14" t="n">
        <x:v>252</x:v>
      </x:c>
      <x:c r="B411" s="14" t="str">
        <x:v>Bio Power</x:v>
      </x:c>
      <x:c r="C411" s="14" t="str">
        <x:v>operational</x:v>
      </x:c>
      <x:c r="D411" s="20" t="str">
        <x:v>Others (districts not specified) [Non-Bagasse based cogen.] Tamil Nadu N.A. 525</x:v>
      </x:c>
      <x:c r="E411" s="14" t="str">
        <x:v>Tamil Nadu</x:v>
      </x:c>
      <x:c r="F411" s="14" t="str">
        <x:v>N.A.</x:v>
      </x:c>
      <x:c r="G411" s="14" t="str">
        <x:v>Thoothukudi</x:v>
      </x:c>
      <x:c r="H411" s="14" t="str">
        <x:v>N.A.</x:v>
      </x:c>
      <x:c r="I411" s="15" t="n">
        <x:v>52.05</x:v>
      </x:c>
      <x:c r="J411" s="16" t="n">
        <x:v>0.007256016446970612</x:v>
      </x:c>
      <x:c r="K411" s="15" t="n">
        <x:f>I411*J411</x:f>
        <x:v>0.37767565606482034</x:v>
      </x:c>
      <x:c r="L411" s="20" t="str">
        <x:v>Others (districts not specified) [Non-Bagasse based cogen.]</x:v>
      </x:c>
      <x:c r="M411" s="20" t="str">
        <x:v>Proportional proxy using known Bio Power capacity by district in PlantInfo</x:v>
      </x:c>
      <x:c r="N411" s="20" t="str">
        <x:v>https://mnre.gov.in/en/physical-progress/</x:v>
      </x:c>
      <x:c r="O411" s="20" t="str">
        <x:v>Low</x:v>
      </x:c>
      <x:c r="P411" s="20" t="str">
        <x:v>This is a statewide/residual category, not a plant-level record. The allocation preserves the row total but is an analytical proxy, not an observed facility location.</x:v>
      </x:c>
    </x:row>
    <x:row r="412">
      <x:c r="A412" s="14" t="n">
        <x:v>252</x:v>
      </x:c>
      <x:c r="B412" s="14" t="str">
        <x:v>Bio Power</x:v>
      </x:c>
      <x:c r="C412" s="14" t="str">
        <x:v>operational</x:v>
      </x:c>
      <x:c r="D412" s="20" t="str">
        <x:v>Others (districts not specified) [Non-Bagasse based cogen.] Tamil Nadu N.A. 525</x:v>
      </x:c>
      <x:c r="E412" s="14" t="str">
        <x:v>Tamil Nadu</x:v>
      </x:c>
      <x:c r="F412" s="14" t="str">
        <x:v>N.A.</x:v>
      </x:c>
      <x:c r="G412" s="14" t="str">
        <x:v>Tiruchirappalli</x:v>
      </x:c>
      <x:c r="H412" s="14" t="str">
        <x:v>N.A.</x:v>
      </x:c>
      <x:c r="I412" s="15" t="n">
        <x:v>52.05</x:v>
      </x:c>
      <x:c r="J412" s="16" t="n">
        <x:v>0.021768049340911838</x:v>
      </x:c>
      <x:c r="K412" s="15" t="n">
        <x:f>I412*J412</x:f>
        <x:v>1.1330269681944611</x:v>
      </x:c>
      <x:c r="L412" s="20" t="str">
        <x:v>Others (districts not specified) [Non-Bagasse based cogen.]</x:v>
      </x:c>
      <x:c r="M412" s="20" t="str">
        <x:v>Proportional proxy using known Bio Power capacity by district in PlantInfo</x:v>
      </x:c>
      <x:c r="N412" s="20" t="str">
        <x:v>https://mnre.gov.in/en/physical-progress/</x:v>
      </x:c>
      <x:c r="O412" s="20" t="str">
        <x:v>Low</x:v>
      </x:c>
      <x:c r="P412" s="20" t="str">
        <x:v>This is a statewide/residual category, not a plant-level record. The allocation preserves the row total but is an analytical proxy, not an observed facility location.</x:v>
      </x:c>
    </x:row>
    <x:row r="413">
      <x:c r="A413" s="14" t="n">
        <x:v>252</x:v>
      </x:c>
      <x:c r="B413" s="14" t="str">
        <x:v>Bio Power</x:v>
      </x:c>
      <x:c r="C413" s="14" t="str">
        <x:v>operational</x:v>
      </x:c>
      <x:c r="D413" s="20" t="str">
        <x:v>Others (districts not specified) [Non-Bagasse based cogen.] Tamil Nadu N.A. 525</x:v>
      </x:c>
      <x:c r="E413" s="14" t="str">
        <x:v>Tamil Nadu</x:v>
      </x:c>
      <x:c r="F413" s="14" t="str">
        <x:v>N.A.</x:v>
      </x:c>
      <x:c r="G413" s="14" t="str">
        <x:v>Tirunelveli</x:v>
      </x:c>
      <x:c r="H413" s="14" t="str">
        <x:v>N.A.</x:v>
      </x:c>
      <x:c r="I413" s="15" t="n">
        <x:v>52.05</x:v>
      </x:c>
      <x:c r="J413" s="16" t="n">
        <x:v>0.1209336074495102</x:v>
      </x:c>
      <x:c r="K413" s="15" t="n">
        <x:f>I413*J413</x:f>
        <x:v>6.294594267747006</x:v>
      </x:c>
      <x:c r="L413" s="20" t="str">
        <x:v>Others (districts not specified) [Non-Bagasse based cogen.]</x:v>
      </x:c>
      <x:c r="M413" s="20" t="str">
        <x:v>Proportional proxy using known Bio Power capacity by district in PlantInfo</x:v>
      </x:c>
      <x:c r="N413" s="20" t="str">
        <x:v>https://mnre.gov.in/en/physical-progress/</x:v>
      </x:c>
      <x:c r="O413" s="20" t="str">
        <x:v>Low</x:v>
      </x:c>
      <x:c r="P413" s="20" t="str">
        <x:v>This is a statewide/residual category, not a plant-level record. The allocation preserves the row total but is an analytical proxy, not an observed facility location.</x:v>
      </x:c>
    </x:row>
    <x:row r="414">
      <x:c r="A414" s="14" t="n">
        <x:v>252</x:v>
      </x:c>
      <x:c r="B414" s="14" t="str">
        <x:v>Bio Power</x:v>
      </x:c>
      <x:c r="C414" s="14" t="str">
        <x:v>operational</x:v>
      </x:c>
      <x:c r="D414" s="20" t="str">
        <x:v>Others (districts not specified) [Non-Bagasse based cogen.] Tamil Nadu N.A. 525</x:v>
      </x:c>
      <x:c r="E414" s="14" t="str">
        <x:v>Tamil Nadu</x:v>
      </x:c>
      <x:c r="F414" s="14" t="str">
        <x:v>N.A.</x:v>
      </x:c>
      <x:c r="G414" s="14" t="str">
        <x:v>Tiruvallur</x:v>
      </x:c>
      <x:c r="H414" s="14" t="str">
        <x:v>N.A.</x:v>
      </x:c>
      <x:c r="I414" s="15" t="n">
        <x:v>52.05</x:v>
      </x:c>
      <x:c r="J414" s="16" t="n">
        <x:v>0.00568387955012698</x:v>
      </x:c>
      <x:c r="K414" s="15" t="n">
        <x:f>I414*J414</x:f>
        <x:v>0.2958459305841093</x:v>
      </x:c>
      <x:c r="L414" s="20" t="str">
        <x:v>Others (districts not specified) [Non-Bagasse based cogen.]</x:v>
      </x:c>
      <x:c r="M414" s="20" t="str">
        <x:v>Proportional proxy using known Bio Power capacity by district in PlantInfo</x:v>
      </x:c>
      <x:c r="N414" s="20" t="str">
        <x:v>https://mnre.gov.in/en/physical-progress/</x:v>
      </x:c>
      <x:c r="O414" s="20" t="str">
        <x:v>Low</x:v>
      </x:c>
      <x:c r="P414" s="20" t="str">
        <x:v>This is a statewide/residual category, not a plant-level record. The allocation preserves the row total but is an analytical proxy, not an observed facility location.</x:v>
      </x:c>
    </x:row>
    <x:row r="415">
      <x:c r="A415" s="14" t="n">
        <x:v>252</x:v>
      </x:c>
      <x:c r="B415" s="14" t="str">
        <x:v>Bio Power</x:v>
      </x:c>
      <x:c r="C415" s="14" t="str">
        <x:v>operational</x:v>
      </x:c>
      <x:c r="D415" s="20" t="str">
        <x:v>Others (districts not specified) [Non-Bagasse based cogen.] Tamil Nadu N.A. 525</x:v>
      </x:c>
      <x:c r="E415" s="14" t="str">
        <x:v>Tamil Nadu</x:v>
      </x:c>
      <x:c r="F415" s="14" t="str">
        <x:v>N.A.</x:v>
      </x:c>
      <x:c r="G415" s="14" t="str">
        <x:v>Tiruvannamalai</x:v>
      </x:c>
      <x:c r="H415" s="14" t="str">
        <x:v>N.A.</x:v>
      </x:c>
      <x:c r="I415" s="15" t="n">
        <x:v>52.05</x:v>
      </x:c>
      <x:c r="J415" s="16" t="n">
        <x:v>0.09408634659571893</x:v>
      </x:c>
      <x:c r="K415" s="15" t="n">
        <x:f>I415*J415</x:f>
        <x:v>4.89719434030717</x:v>
      </x:c>
      <x:c r="L415" s="20" t="str">
        <x:v>Others (districts not specified) [Non-Bagasse based cogen.]</x:v>
      </x:c>
      <x:c r="M415" s="20" t="str">
        <x:v>Proportional proxy using known Bio Power capacity by district in PlantInfo</x:v>
      </x:c>
      <x:c r="N415" s="20" t="str">
        <x:v>https://mnre.gov.in/en/physical-progress/</x:v>
      </x:c>
      <x:c r="O415" s="20" t="str">
        <x:v>Low</x:v>
      </x:c>
      <x:c r="P415" s="20" t="str">
        <x:v>This is a statewide/residual category, not a plant-level record. The allocation preserves the row total but is an analytical proxy, not an observed facility location.</x:v>
      </x:c>
    </x:row>
    <x:row r="416">
      <x:c r="A416" s="14" t="n">
        <x:v>252</x:v>
      </x:c>
      <x:c r="B416" s="14" t="str">
        <x:v>Bio Power</x:v>
      </x:c>
      <x:c r="C416" s="14" t="str">
        <x:v>operational</x:v>
      </x:c>
      <x:c r="D416" s="20" t="str">
        <x:v>Others (districts not specified) [Non-Bagasse based cogen.] Tamil Nadu N.A. 525</x:v>
      </x:c>
      <x:c r="E416" s="14" t="str">
        <x:v>Tamil Nadu</x:v>
      </x:c>
      <x:c r="F416" s="14" t="str">
        <x:v>N.A.</x:v>
      </x:c>
      <x:c r="G416" s="14" t="str">
        <x:v>Viluppuram</x:v>
      </x:c>
      <x:c r="H416" s="14" t="str">
        <x:v>N.A.</x:v>
      </x:c>
      <x:c r="I416" s="15" t="n">
        <x:v>52.05</x:v>
      </x:c>
      <x:c r="J416" s="16" t="n">
        <x:v>0.07739750876768653</x:v>
      </x:c>
      <x:c r="K416" s="15" t="n">
        <x:f>I416*J416</x:f>
        <x:v>4.028540331358084</x:v>
      </x:c>
      <x:c r="L416" s="20" t="str">
        <x:v>Others (districts not specified) [Non-Bagasse based cogen.]</x:v>
      </x:c>
      <x:c r="M416" s="20" t="str">
        <x:v>Proportional proxy using known Bio Power capacity by district in PlantInfo</x:v>
      </x:c>
      <x:c r="N416" s="20" t="str">
        <x:v>https://mnre.gov.in/en/physical-progress/</x:v>
      </x:c>
      <x:c r="O416" s="20" t="str">
        <x:v>Low</x:v>
      </x:c>
      <x:c r="P416" s="20" t="str">
        <x:v>This is a statewide/residual category, not a plant-level record. The allocation preserves the row total but is an analytical proxy, not an observed facility location.</x:v>
      </x:c>
    </x:row>
    <x:row r="417">
      <x:c r="A417" s="14" t="n">
        <x:v>252</x:v>
      </x:c>
      <x:c r="B417" s="14" t="str">
        <x:v>Bio Power</x:v>
      </x:c>
      <x:c r="C417" s="14" t="str">
        <x:v>operational</x:v>
      </x:c>
      <x:c r="D417" s="20" t="str">
        <x:v>Others (districts not specified) [Non-Bagasse based cogen.] Tamil Nadu N.A. 525</x:v>
      </x:c>
      <x:c r="E417" s="14" t="str">
        <x:v>Tamil Nadu</x:v>
      </x:c>
      <x:c r="F417" s="14" t="str">
        <x:v>N.A.</x:v>
      </x:c>
      <x:c r="G417" s="14" t="str">
        <x:v>Virudhunagar</x:v>
      </x:c>
      <x:c r="H417" s="14" t="str">
        <x:v>N.A.</x:v>
      </x:c>
      <x:c r="I417" s="15" t="n">
        <x:v>52.05</x:v>
      </x:c>
      <x:c r="J417" s="16" t="n">
        <x:v>0.018079574313701774</x:v>
      </x:c>
      <x:c r="K417" s="15" t="n">
        <x:f>I417*J417</x:f>
        <x:v>0.9410418430281773</x:v>
      </x:c>
      <x:c r="L417" s="20" t="str">
        <x:v>Others (districts not specified) [Non-Bagasse based cogen.]</x:v>
      </x:c>
      <x:c r="M417" s="20" t="str">
        <x:v>Proportional proxy using known Bio Power capacity by district in PlantInfo</x:v>
      </x:c>
      <x:c r="N417" s="20" t="str">
        <x:v>https://mnre.gov.in/en/physical-progress/</x:v>
      </x:c>
      <x:c r="O417" s="20" t="str">
        <x:v>Low</x:v>
      </x:c>
      <x:c r="P417" s="20" t="str">
        <x:v>This is a statewide/residual category, not a plant-level record. The allocation preserves the row total but is an analytical proxy, not an observed facility location.</x:v>
      </x:c>
    </x:row>
    <x:row r="418">
      <x:c r="A418" s="14" t="n">
        <x:v>253</x:v>
      </x:c>
      <x:c r="B418" s="14" t="str">
        <x:v>Bio Power</x:v>
      </x:c>
      <x:c r="C418" s="14" t="str">
        <x:v>operational</x:v>
      </x:c>
      <x:c r="D418" s="20" t="str">
        <x:v>Others (districts not specified) [Waste to Energy (Off-grid)] Tamil Nadu N.A. 27.57</x:v>
      </x:c>
      <x:c r="E418" s="14" t="str">
        <x:v>Tamil Nadu</x:v>
      </x:c>
      <x:c r="F418" s="14" t="str">
        <x:v>N.A.</x:v>
      </x:c>
      <x:c r="G418" s="14" t="str">
        <x:v>Chennai</x:v>
      </x:c>
      <x:c r="H418" s="14" t="str">
        <x:v>N.A.</x:v>
      </x:c>
      <x:c r="I418" s="15" t="n">
        <x:v>27.57</x:v>
      </x:c>
      <x:c r="J418" s="16" t="n">
        <x:v>0.0003023340186237755</x:v>
      </x:c>
      <x:c r="K418" s="15" t="n">
        <x:f>I418*J418</x:f>
        <x:v>0.008335348893457491</x:v>
      </x:c>
      <x:c r="L418" s="20" t="str">
        <x:v>Others (districts not specified) [Waste to Energy (Off-grid)]</x:v>
      </x:c>
      <x:c r="M418" s="20" t="str">
        <x:v>Proportional proxy using known Bio Power capacity by district in PlantInfo</x:v>
      </x:c>
      <x:c r="N418" s="20" t="str">
        <x:v>https://mnre.gov.in/en/physical-progress/</x:v>
      </x:c>
      <x:c r="O418" s="20" t="str">
        <x:v>Low</x:v>
      </x:c>
      <x:c r="P418" s="20" t="str">
        <x:v>This is a statewide/residual category, not a plant-level record. The allocation preserves the row total but is an analytical proxy, not an observed facility location.</x:v>
      </x:c>
    </x:row>
    <x:row r="419">
      <x:c r="A419" s="14" t="n">
        <x:v>253</x:v>
      </x:c>
      <x:c r="B419" s="14" t="str">
        <x:v>Bio Power</x:v>
      </x:c>
      <x:c r="C419" s="14" t="str">
        <x:v>operational</x:v>
      </x:c>
      <x:c r="D419" s="20" t="str">
        <x:v>Others (districts not specified) [Waste to Energy (Off-grid)] Tamil Nadu N.A. 27.57</x:v>
      </x:c>
      <x:c r="E419" s="14" t="str">
        <x:v>Tamil Nadu</x:v>
      </x:c>
      <x:c r="F419" s="14" t="str">
        <x:v>N.A.</x:v>
      </x:c>
      <x:c r="G419" s="14" t="str">
        <x:v>Coimbatore</x:v>
      </x:c>
      <x:c r="H419" s="14" t="str">
        <x:v>N.A.</x:v>
      </x:c>
      <x:c r="I419" s="15" t="n">
        <x:v>27.57</x:v>
      </x:c>
      <x:c r="J419" s="16" t="n">
        <x:v>0.014028298464143184</x:v>
      </x:c>
      <x:c r="K419" s="15" t="n">
        <x:f>I419*J419</x:f>
        <x:v>0.3867601886564276</x:v>
      </x:c>
      <x:c r="L419" s="20" t="str">
        <x:v>Others (districts not specified) [Waste to Energy (Off-grid)]</x:v>
      </x:c>
      <x:c r="M419" s="20" t="str">
        <x:v>Proportional proxy using known Bio Power capacity by district in PlantInfo</x:v>
      </x:c>
      <x:c r="N419" s="20" t="str">
        <x:v>https://mnre.gov.in/en/physical-progress/</x:v>
      </x:c>
      <x:c r="O419" s="20" t="str">
        <x:v>Low</x:v>
      </x:c>
      <x:c r="P419" s="20" t="str">
        <x:v>This is a statewide/residual category, not a plant-level record. The allocation preserves the row total but is an analytical proxy, not an observed facility location.</x:v>
      </x:c>
    </x:row>
    <x:row r="420">
      <x:c r="A420" s="14" t="n">
        <x:v>253</x:v>
      </x:c>
      <x:c r="B420" s="14" t="str">
        <x:v>Bio Power</x:v>
      </x:c>
      <x:c r="C420" s="14" t="str">
        <x:v>operational</x:v>
      </x:c>
      <x:c r="D420" s="20" t="str">
        <x:v>Others (districts not specified) [Waste to Energy (Off-grid)] Tamil Nadu N.A. 27.57</x:v>
      </x:c>
      <x:c r="E420" s="14" t="str">
        <x:v>Tamil Nadu</x:v>
      </x:c>
      <x:c r="F420" s="14" t="str">
        <x:v>N.A.</x:v>
      </x:c>
      <x:c r="G420" s="14" t="str">
        <x:v>Cuddalore</x:v>
      </x:c>
      <x:c r="H420" s="14" t="str">
        <x:v>N.A.</x:v>
      </x:c>
      <x:c r="I420" s="15" t="n">
        <x:v>27.57</x:v>
      </x:c>
      <x:c r="J420" s="16" t="n">
        <x:v>0.10966259523521586</x:v>
      </x:c>
      <x:c r="K420" s="15" t="n">
        <x:f>I420*J420</x:f>
        <x:v>3.0233977506349015</x:v>
      </x:c>
      <x:c r="L420" s="20" t="str">
        <x:v>Others (districts not specified) [Waste to Energy (Off-grid)]</x:v>
      </x:c>
      <x:c r="M420" s="20" t="str">
        <x:v>Proportional proxy using known Bio Power capacity by district in PlantInfo</x:v>
      </x:c>
      <x:c r="N420" s="20" t="str">
        <x:v>https://mnre.gov.in/en/physical-progress/</x:v>
      </x:c>
      <x:c r="O420" s="20" t="str">
        <x:v>Low</x:v>
      </x:c>
      <x:c r="P420" s="20" t="str">
        <x:v>This is a statewide/residual category, not a plant-level record. The allocation preserves the row total but is an analytical proxy, not an observed facility location.</x:v>
      </x:c>
    </x:row>
    <x:row r="421">
      <x:c r="A421" s="14" t="n">
        <x:v>253</x:v>
      </x:c>
      <x:c r="B421" s="14" t="str">
        <x:v>Bio Power</x:v>
      </x:c>
      <x:c r="C421" s="14" t="str">
        <x:v>operational</x:v>
      </x:c>
      <x:c r="D421" s="20" t="str">
        <x:v>Others (districts not specified) [Waste to Energy (Off-grid)] Tamil Nadu N.A. 27.57</x:v>
      </x:c>
      <x:c r="E421" s="14" t="str">
        <x:v>Tamil Nadu</x:v>
      </x:c>
      <x:c r="F421" s="14" t="str">
        <x:v>N.A.</x:v>
      </x:c>
      <x:c r="G421" s="14" t="str">
        <x:v>Dharmapuri</x:v>
      </x:c>
      <x:c r="H421" s="14" t="str">
        <x:v>N.A.</x:v>
      </x:c>
      <x:c r="I421" s="15" t="n">
        <x:v>27.57</x:v>
      </x:c>
      <x:c r="J421" s="16" t="n">
        <x:v>0.01814004111742653</x:v>
      </x:c>
      <x:c r="K421" s="15" t="n">
        <x:f>I421*J421</x:f>
        <x:v>0.5001209336074495</x:v>
      </x:c>
      <x:c r="L421" s="20" t="str">
        <x:v>Others (districts not specified) [Waste to Energy (Off-grid)]</x:v>
      </x:c>
      <x:c r="M421" s="20" t="str">
        <x:v>Proportional proxy using known Bio Power capacity by district in PlantInfo</x:v>
      </x:c>
      <x:c r="N421" s="20" t="str">
        <x:v>https://mnre.gov.in/en/physical-progress/</x:v>
      </x:c>
      <x:c r="O421" s="20" t="str">
        <x:v>Low</x:v>
      </x:c>
      <x:c r="P421" s="20" t="str">
        <x:v>This is a statewide/residual category, not a plant-level record. The allocation preserves the row total but is an analytical proxy, not an observed facility location.</x:v>
      </x:c>
    </x:row>
    <x:row r="422">
      <x:c r="A422" s="14" t="n">
        <x:v>253</x:v>
      </x:c>
      <x:c r="B422" s="14" t="str">
        <x:v>Bio Power</x:v>
      </x:c>
      <x:c r="C422" s="14" t="str">
        <x:v>operational</x:v>
      </x:c>
      <x:c r="D422" s="20" t="str">
        <x:v>Others (districts not specified) [Waste to Energy (Off-grid)] Tamil Nadu N.A. 27.57</x:v>
      </x:c>
      <x:c r="E422" s="14" t="str">
        <x:v>Tamil Nadu</x:v>
      </x:c>
      <x:c r="F422" s="14" t="str">
        <x:v>N.A.</x:v>
      </x:c>
      <x:c r="G422" s="14" t="str">
        <x:v>Dindigul</x:v>
      </x:c>
      <x:c r="H422" s="14" t="str">
        <x:v>N.A.</x:v>
      </x:c>
      <x:c r="I422" s="15" t="n">
        <x:v>27.57</x:v>
      </x:c>
      <x:c r="J422" s="16" t="n">
        <x:v>0.009070020558713265</x:v>
      </x:c>
      <x:c r="K422" s="15" t="n">
        <x:f>I422*J422</x:f>
        <x:v>0.25006046680372473</x:v>
      </x:c>
      <x:c r="L422" s="20" t="str">
        <x:v>Others (districts not specified) [Waste to Energy (Off-grid)]</x:v>
      </x:c>
      <x:c r="M422" s="20" t="str">
        <x:v>Proportional proxy using known Bio Power capacity by district in PlantInfo</x:v>
      </x:c>
      <x:c r="N422" s="20" t="str">
        <x:v>https://mnre.gov.in/en/physical-progress/</x:v>
      </x:c>
      <x:c r="O422" s="20" t="str">
        <x:v>Low</x:v>
      </x:c>
      <x:c r="P422" s="20" t="str">
        <x:v>This is a statewide/residual category, not a plant-level record. The allocation preserves the row total but is an analytical proxy, not an observed facility location.</x:v>
      </x:c>
    </x:row>
    <x:row r="423">
      <x:c r="A423" s="14" t="n">
        <x:v>253</x:v>
      </x:c>
      <x:c r="B423" s="14" t="str">
        <x:v>Bio Power</x:v>
      </x:c>
      <x:c r="C423" s="14" t="str">
        <x:v>operational</x:v>
      </x:c>
      <x:c r="D423" s="20" t="str">
        <x:v>Others (districts not specified) [Waste to Energy (Off-grid)] Tamil Nadu N.A. 27.57</x:v>
      </x:c>
      <x:c r="E423" s="14" t="str">
        <x:v>Tamil Nadu</x:v>
      </x:c>
      <x:c r="F423" s="14" t="str">
        <x:v>N.A.</x:v>
      </x:c>
      <x:c r="G423" s="14" t="str">
        <x:v>Erode</x:v>
      </x:c>
      <x:c r="H423" s="14" t="str">
        <x:v>N.A.</x:v>
      </x:c>
      <x:c r="I423" s="15" t="n">
        <x:v>27.57</x:v>
      </x:c>
      <x:c r="J423" s="16" t="n">
        <x:v>0.1173055992260249</x:v>
      </x:c>
      <x:c r="K423" s="15" t="n">
        <x:f>I423*J423</x:f>
        <x:v>3.2341153706615065</x:v>
      </x:c>
      <x:c r="L423" s="20" t="str">
        <x:v>Others (districts not specified) [Waste to Energy (Off-grid)]</x:v>
      </x:c>
      <x:c r="M423" s="20" t="str">
        <x:v>Proportional proxy using known Bio Power capacity by district in PlantInfo</x:v>
      </x:c>
      <x:c r="N423" s="20" t="str">
        <x:v>https://mnre.gov.in/en/physical-progress/</x:v>
      </x:c>
      <x:c r="O423" s="20" t="str">
        <x:v>Low</x:v>
      </x:c>
      <x:c r="P423" s="20" t="str">
        <x:v>This is a statewide/residual category, not a plant-level record. The allocation preserves the row total but is an analytical proxy, not an observed facility location.</x:v>
      </x:c>
    </x:row>
    <x:row r="424">
      <x:c r="A424" s="14" t="n">
        <x:v>253</x:v>
      </x:c>
      <x:c r="B424" s="14" t="str">
        <x:v>Bio Power</x:v>
      </x:c>
      <x:c r="C424" s="14" t="str">
        <x:v>operational</x:v>
      </x:c>
      <x:c r="D424" s="20" t="str">
        <x:v>Others (districts not specified) [Waste to Energy (Off-grid)] Tamil Nadu N.A. 27.57</x:v>
      </x:c>
      <x:c r="E424" s="14" t="str">
        <x:v>Tamil Nadu</x:v>
      </x:c>
      <x:c r="F424" s="14" t="str">
        <x:v>N.A.</x:v>
      </x:c>
      <x:c r="G424" s="14" t="str">
        <x:v>Kanchipuram</x:v>
      </x:c>
      <x:c r="H424" s="14" t="str">
        <x:v>N.A.</x:v>
      </x:c>
      <x:c r="I424" s="15" t="n">
        <x:v>27.57</x:v>
      </x:c>
      <x:c r="J424" s="16" t="n">
        <x:v>0.07618817269319143</x:v>
      </x:c>
      <x:c r="K424" s="15" t="n">
        <x:f>I424*J424</x:f>
        <x:v>2.100507921151288</x:v>
      </x:c>
      <x:c r="L424" s="20" t="str">
        <x:v>Others (districts not specified) [Waste to Energy (Off-grid)]</x:v>
      </x:c>
      <x:c r="M424" s="20" t="str">
        <x:v>Proportional proxy using known Bio Power capacity by district in PlantInfo</x:v>
      </x:c>
      <x:c r="N424" s="20" t="str">
        <x:v>https://mnre.gov.in/en/physical-progress/</x:v>
      </x:c>
      <x:c r="O424" s="20" t="str">
        <x:v>Low</x:v>
      </x:c>
      <x:c r="P424" s="20" t="str">
        <x:v>This is a statewide/residual category, not a plant-level record. The allocation preserves the row total but is an analytical proxy, not an observed facility location.</x:v>
      </x:c>
    </x:row>
    <x:row r="425">
      <x:c r="A425" s="14" t="n">
        <x:v>253</x:v>
      </x:c>
      <x:c r="B425" s="14" t="str">
        <x:v>Bio Power</x:v>
      </x:c>
      <x:c r="C425" s="14" t="str">
        <x:v>operational</x:v>
      </x:c>
      <x:c r="D425" s="20" t="str">
        <x:v>Others (districts not specified) [Waste to Energy (Off-grid)] Tamil Nadu N.A. 27.57</x:v>
      </x:c>
      <x:c r="E425" s="14" t="str">
        <x:v>Tamil Nadu</x:v>
      </x:c>
      <x:c r="F425" s="14" t="str">
        <x:v>N.A.</x:v>
      </x:c>
      <x:c r="G425" s="14" t="str">
        <x:v>Karur</x:v>
      </x:c>
      <x:c r="H425" s="14" t="str">
        <x:v>N.A.</x:v>
      </x:c>
      <x:c r="I425" s="15" t="n">
        <x:v>27.57</x:v>
      </x:c>
      <x:c r="J425" s="16" t="n">
        <x:v>0.026605393638892246</x:v>
      </x:c>
      <x:c r="K425" s="15" t="n">
        <x:f>I425*J425</x:f>
        <x:v>0.7335107026242592</x:v>
      </x:c>
      <x:c r="L425" s="20" t="str">
        <x:v>Others (districts not specified) [Waste to Energy (Off-grid)]</x:v>
      </x:c>
      <x:c r="M425" s="20" t="str">
        <x:v>Proportional proxy using known Bio Power capacity by district in PlantInfo</x:v>
      </x:c>
      <x:c r="N425" s="20" t="str">
        <x:v>https://mnre.gov.in/en/physical-progress/</x:v>
      </x:c>
      <x:c r="O425" s="20" t="str">
        <x:v>Low</x:v>
      </x:c>
      <x:c r="P425" s="20" t="str">
        <x:v>This is a statewide/residual category, not a plant-level record. The allocation preserves the row total but is an analytical proxy, not an observed facility location.</x:v>
      </x:c>
    </x:row>
    <x:row r="426">
      <x:c r="A426" s="14" t="n">
        <x:v>253</x:v>
      </x:c>
      <x:c r="B426" s="14" t="str">
        <x:v>Bio Power</x:v>
      </x:c>
      <x:c r="C426" s="14" t="str">
        <x:v>operational</x:v>
      </x:c>
      <x:c r="D426" s="20" t="str">
        <x:v>Others (districts not specified) [Waste to Energy (Off-grid)] Tamil Nadu N.A. 27.57</x:v>
      </x:c>
      <x:c r="E426" s="14" t="str">
        <x:v>Tamil Nadu</x:v>
      </x:c>
      <x:c r="F426" s="14" t="str">
        <x:v>N.A.</x:v>
      </x:c>
      <x:c r="G426" s="14" t="str">
        <x:v>Madurai</x:v>
      </x:c>
      <x:c r="H426" s="14" t="str">
        <x:v>N.A.</x:v>
      </x:c>
      <x:c r="I426" s="15" t="n">
        <x:v>27.57</x:v>
      </x:c>
      <x:c r="J426" s="16" t="n">
        <x:v>0.01209336074495102</x:v>
      </x:c>
      <x:c r="K426" s="15" t="n">
        <x:f>I426*J426</x:f>
        <x:v>0.3334139557382996</x:v>
      </x:c>
      <x:c r="L426" s="20" t="str">
        <x:v>Others (districts not specified) [Waste to Energy (Off-grid)]</x:v>
      </x:c>
      <x:c r="M426" s="20" t="str">
        <x:v>Proportional proxy using known Bio Power capacity by district in PlantInfo</x:v>
      </x:c>
      <x:c r="N426" s="20" t="str">
        <x:v>https://mnre.gov.in/en/physical-progress/</x:v>
      </x:c>
      <x:c r="O426" s="20" t="str">
        <x:v>Low</x:v>
      </x:c>
      <x:c r="P426" s="20" t="str">
        <x:v>This is a statewide/residual category, not a plant-level record. The allocation preserves the row total but is an analytical proxy, not an observed facility location.</x:v>
      </x:c>
    </x:row>
    <x:row r="427">
      <x:c r="A427" s="14" t="n">
        <x:v>253</x:v>
      </x:c>
      <x:c r="B427" s="14" t="str">
        <x:v>Bio Power</x:v>
      </x:c>
      <x:c r="C427" s="14" t="str">
        <x:v>operational</x:v>
      </x:c>
      <x:c r="D427" s="20" t="str">
        <x:v>Others (districts not specified) [Waste to Energy (Off-grid)] Tamil Nadu N.A. 27.57</x:v>
      </x:c>
      <x:c r="E427" s="14" t="str">
        <x:v>Tamil Nadu</x:v>
      </x:c>
      <x:c r="F427" s="14" t="str">
        <x:v>N.A.</x:v>
      </x:c>
      <x:c r="G427" s="14" t="str">
        <x:v>Namakkal</x:v>
      </x:c>
      <x:c r="H427" s="14" t="str">
        <x:v>N.A.</x:v>
      </x:c>
      <x:c r="I427" s="15" t="n">
        <x:v>27.57</x:v>
      </x:c>
      <x:c r="J427" s="16" t="n">
        <x:v>0.003023340186237755</x:v>
      </x:c>
      <x:c r="K427" s="15" t="n">
        <x:f>I427*J427</x:f>
        <x:v>0.0833534889345749</x:v>
      </x:c>
      <x:c r="L427" s="20" t="str">
        <x:v>Others (districts not specified) [Waste to Energy (Off-grid)]</x:v>
      </x:c>
      <x:c r="M427" s="20" t="str">
        <x:v>Proportional proxy using known Bio Power capacity by district in PlantInfo</x:v>
      </x:c>
      <x:c r="N427" s="20" t="str">
        <x:v>https://mnre.gov.in/en/physical-progress/</x:v>
      </x:c>
      <x:c r="O427" s="20" t="str">
        <x:v>Low</x:v>
      </x:c>
      <x:c r="P427" s="20" t="str">
        <x:v>This is a statewide/residual category, not a plant-level record. The allocation preserves the row total but is an analytical proxy, not an observed facility location.</x:v>
      </x:c>
    </x:row>
    <x:row r="428">
      <x:c r="A428" s="14" t="n">
        <x:v>253</x:v>
      </x:c>
      <x:c r="B428" s="14" t="str">
        <x:v>Bio Power</x:v>
      </x:c>
      <x:c r="C428" s="14" t="str">
        <x:v>operational</x:v>
      </x:c>
      <x:c r="D428" s="20" t="str">
        <x:v>Others (districts not specified) [Waste to Energy (Off-grid)] Tamil Nadu N.A. 27.57</x:v>
      </x:c>
      <x:c r="E428" s="14" t="str">
        <x:v>Tamil Nadu</x:v>
      </x:c>
      <x:c r="F428" s="14" t="str">
        <x:v>N.A.</x:v>
      </x:c>
      <x:c r="G428" s="14" t="str">
        <x:v>Perambalur</x:v>
      </x:c>
      <x:c r="H428" s="14" t="str">
        <x:v>N.A.</x:v>
      </x:c>
      <x:c r="I428" s="15" t="n">
        <x:v>27.57</x:v>
      </x:c>
      <x:c r="J428" s="16" t="n">
        <x:v>0.07135082839521102</x:v>
      </x:c>
      <x:c r="K428" s="15" t="n">
        <x:f>I428*J428</x:f>
        <x:v>1.967142338855968</x:v>
      </x:c>
      <x:c r="L428" s="20" t="str">
        <x:v>Others (districts not specified) [Waste to Energy (Off-grid)]</x:v>
      </x:c>
      <x:c r="M428" s="20" t="str">
        <x:v>Proportional proxy using known Bio Power capacity by district in PlantInfo</x:v>
      </x:c>
      <x:c r="N428" s="20" t="str">
        <x:v>https://mnre.gov.in/en/physical-progress/</x:v>
      </x:c>
      <x:c r="O428" s="20" t="str">
        <x:v>Low</x:v>
      </x:c>
      <x:c r="P428" s="20" t="str">
        <x:v>This is a statewide/residual category, not a plant-level record. The allocation preserves the row total but is an analytical proxy, not an observed facility location.</x:v>
      </x:c>
    </x:row>
    <x:row r="429">
      <x:c r="A429" s="14" t="n">
        <x:v>253</x:v>
      </x:c>
      <x:c r="B429" s="14" t="str">
        <x:v>Bio Power</x:v>
      </x:c>
      <x:c r="C429" s="14" t="str">
        <x:v>operational</x:v>
      </x:c>
      <x:c r="D429" s="20" t="str">
        <x:v>Others (districts not specified) [Waste to Energy (Off-grid)] Tamil Nadu N.A. 27.57</x:v>
      </x:c>
      <x:c r="E429" s="14" t="str">
        <x:v>Tamil Nadu</x:v>
      </x:c>
      <x:c r="F429" s="14" t="str">
        <x:v>N.A.</x:v>
      </x:c>
      <x:c r="G429" s="14" t="str">
        <x:v>Pudukkottai</x:v>
      </x:c>
      <x:c r="H429" s="14" t="str">
        <x:v>N.A.</x:v>
      </x:c>
      <x:c r="I429" s="15" t="n">
        <x:v>27.57</x:v>
      </x:c>
      <x:c r="J429" s="16" t="n">
        <x:v>0.04293143064457612</x:v>
      </x:c>
      <x:c r="K429" s="15" t="n">
        <x:f>I429*J429</x:f>
        <x:v>1.1836195428709637</x:v>
      </x:c>
      <x:c r="L429" s="20" t="str">
        <x:v>Others (districts not specified) [Waste to Energy (Off-grid)]</x:v>
      </x:c>
      <x:c r="M429" s="20" t="str">
        <x:v>Proportional proxy using known Bio Power capacity by district in PlantInfo</x:v>
      </x:c>
      <x:c r="N429" s="20" t="str">
        <x:v>https://mnre.gov.in/en/physical-progress/</x:v>
      </x:c>
      <x:c r="O429" s="20" t="str">
        <x:v>Low</x:v>
      </x:c>
      <x:c r="P429" s="20" t="str">
        <x:v>This is a statewide/residual category, not a plant-level record. The allocation preserves the row total but is an analytical proxy, not an observed facility location.</x:v>
      </x:c>
    </x:row>
    <x:row r="430">
      <x:c r="A430" s="14" t="n">
        <x:v>253</x:v>
      </x:c>
      <x:c r="B430" s="14" t="str">
        <x:v>Bio Power</x:v>
      </x:c>
      <x:c r="C430" s="14" t="str">
        <x:v>operational</x:v>
      </x:c>
      <x:c r="D430" s="20" t="str">
        <x:v>Others (districts not specified) [Waste to Energy (Off-grid)] Tamil Nadu N.A. 27.57</x:v>
      </x:c>
      <x:c r="E430" s="14" t="str">
        <x:v>Tamil Nadu</x:v>
      </x:c>
      <x:c r="F430" s="14" t="str">
        <x:v>N.A.</x:v>
      </x:c>
      <x:c r="G430" s="14" t="str">
        <x:v>Sivaganga</x:v>
      </x:c>
      <x:c r="H430" s="14" t="str">
        <x:v>N.A.</x:v>
      </x:c>
      <x:c r="I430" s="15" t="n">
        <x:v>27.57</x:v>
      </x:c>
      <x:c r="J430" s="16" t="n">
        <x:v>0.07135082839521102</x:v>
      </x:c>
      <x:c r="K430" s="15" t="n">
        <x:f>I430*J430</x:f>
        <x:v>1.967142338855968</x:v>
      </x:c>
      <x:c r="L430" s="20" t="str">
        <x:v>Others (districts not specified) [Waste to Energy (Off-grid)]</x:v>
      </x:c>
      <x:c r="M430" s="20" t="str">
        <x:v>Proportional proxy using known Bio Power capacity by district in PlantInfo</x:v>
      </x:c>
      <x:c r="N430" s="20" t="str">
        <x:v>https://mnre.gov.in/en/physical-progress/</x:v>
      </x:c>
      <x:c r="O430" s="20" t="str">
        <x:v>Low</x:v>
      </x:c>
      <x:c r="P430" s="20" t="str">
        <x:v>This is a statewide/residual category, not a plant-level record. The allocation preserves the row total but is an analytical proxy, not an observed facility location.</x:v>
      </x:c>
    </x:row>
    <x:row r="431">
      <x:c r="A431" s="14" t="n">
        <x:v>253</x:v>
      </x:c>
      <x:c r="B431" s="14" t="str">
        <x:v>Bio Power</x:v>
      </x:c>
      <x:c r="C431" s="14" t="str">
        <x:v>operational</x:v>
      </x:c>
      <x:c r="D431" s="20" t="str">
        <x:v>Others (districts not specified) [Waste to Energy (Off-grid)] Tamil Nadu N.A. 27.57</x:v>
      </x:c>
      <x:c r="E431" s="14" t="str">
        <x:v>Tamil Nadu</x:v>
      </x:c>
      <x:c r="F431" s="14" t="str">
        <x:v>N.A.</x:v>
      </x:c>
      <x:c r="G431" s="14" t="str">
        <x:v>Thanjavur</x:v>
      </x:c>
      <x:c r="H431" s="14" t="str">
        <x:v>N.A.</x:v>
      </x:c>
      <x:c r="I431" s="15" t="n">
        <x:v>27.57</x:v>
      </x:c>
      <x:c r="J431" s="16" t="n">
        <x:v>0.0627887289877857</x:v>
      </x:c>
      <x:c r="K431" s="15" t="n">
        <x:f>I431*J431</x:f>
        <x:v>1.7310852581932519</x:v>
      </x:c>
      <x:c r="L431" s="20" t="str">
        <x:v>Others (districts not specified) [Waste to Energy (Off-grid)]</x:v>
      </x:c>
      <x:c r="M431" s="20" t="str">
        <x:v>Proportional proxy using known Bio Power capacity by district in PlantInfo</x:v>
      </x:c>
      <x:c r="N431" s="20" t="str">
        <x:v>https://mnre.gov.in/en/physical-progress/</x:v>
      </x:c>
      <x:c r="O431" s="20" t="str">
        <x:v>Low</x:v>
      </x:c>
      <x:c r="P431" s="20" t="str">
        <x:v>This is a statewide/residual category, not a plant-level record. The allocation preserves the row total but is an analytical proxy, not an observed facility location.</x:v>
      </x:c>
    </x:row>
    <x:row r="432">
      <x:c r="A432" s="14" t="n">
        <x:v>253</x:v>
      </x:c>
      <x:c r="B432" s="14" t="str">
        <x:v>Bio Power</x:v>
      </x:c>
      <x:c r="C432" s="14" t="str">
        <x:v>operational</x:v>
      </x:c>
      <x:c r="D432" s="20" t="str">
        <x:v>Others (districts not specified) [Waste to Energy (Off-grid)] Tamil Nadu N.A. 27.57</x:v>
      </x:c>
      <x:c r="E432" s="14" t="str">
        <x:v>Tamil Nadu</x:v>
      </x:c>
      <x:c r="F432" s="14" t="str">
        <x:v>N.A.</x:v>
      </x:c>
      <x:c r="G432" s="14" t="str">
        <x:v>Theni</x:v>
      </x:c>
      <x:c r="H432" s="14" t="str">
        <x:v>N.A.</x:v>
      </x:c>
      <x:c r="I432" s="15" t="n">
        <x:v>27.57</x:v>
      </x:c>
      <x:c r="J432" s="16" t="n">
        <x:v>0.019954045229169184</x:v>
      </x:c>
      <x:c r="K432" s="15" t="n">
        <x:f>I432*J432</x:f>
        <x:v>0.5501330269681944</x:v>
      </x:c>
      <x:c r="L432" s="20" t="str">
        <x:v>Others (districts not specified) [Waste to Energy (Off-grid)]</x:v>
      </x:c>
      <x:c r="M432" s="20" t="str">
        <x:v>Proportional proxy using known Bio Power capacity by district in PlantInfo</x:v>
      </x:c>
      <x:c r="N432" s="20" t="str">
        <x:v>https://mnre.gov.in/en/physical-progress/</x:v>
      </x:c>
      <x:c r="O432" s="20" t="str">
        <x:v>Low</x:v>
      </x:c>
      <x:c r="P432" s="20" t="str">
        <x:v>This is a statewide/residual category, not a plant-level record. The allocation preserves the row total but is an analytical proxy, not an observed facility location.</x:v>
      </x:c>
    </x:row>
    <x:row r="433">
      <x:c r="A433" s="14" t="n">
        <x:v>253</x:v>
      </x:c>
      <x:c r="B433" s="14" t="str">
        <x:v>Bio Power</x:v>
      </x:c>
      <x:c r="C433" s="14" t="str">
        <x:v>operational</x:v>
      </x:c>
      <x:c r="D433" s="20" t="str">
        <x:v>Others (districts not specified) [Waste to Energy (Off-grid)] Tamil Nadu N.A. 27.57</x:v>
      </x:c>
      <x:c r="E433" s="14" t="str">
        <x:v>Tamil Nadu</x:v>
      </x:c>
      <x:c r="F433" s="14" t="str">
        <x:v>N.A.</x:v>
      </x:c>
      <x:c r="G433" s="14" t="str">
        <x:v>Thoothukudi</x:v>
      </x:c>
      <x:c r="H433" s="14" t="str">
        <x:v>N.A.</x:v>
      </x:c>
      <x:c r="I433" s="15" t="n">
        <x:v>27.57</x:v>
      </x:c>
      <x:c r="J433" s="16" t="n">
        <x:v>0.007256016446970612</x:v>
      </x:c>
      <x:c r="K433" s="15" t="n">
        <x:f>I433*J433</x:f>
        <x:v>0.20004837344297977</x:v>
      </x:c>
      <x:c r="L433" s="20" t="str">
        <x:v>Others (districts not specified) [Waste to Energy (Off-grid)]</x:v>
      </x:c>
      <x:c r="M433" s="20" t="str">
        <x:v>Proportional proxy using known Bio Power capacity by district in PlantInfo</x:v>
      </x:c>
      <x:c r="N433" s="20" t="str">
        <x:v>https://mnre.gov.in/en/physical-progress/</x:v>
      </x:c>
      <x:c r="O433" s="20" t="str">
        <x:v>Low</x:v>
      </x:c>
      <x:c r="P433" s="20" t="str">
        <x:v>This is a statewide/residual category, not a plant-level record. The allocation preserves the row total but is an analytical proxy, not an observed facility location.</x:v>
      </x:c>
    </x:row>
    <x:row r="434">
      <x:c r="A434" s="14" t="n">
        <x:v>253</x:v>
      </x:c>
      <x:c r="B434" s="14" t="str">
        <x:v>Bio Power</x:v>
      </x:c>
      <x:c r="C434" s="14" t="str">
        <x:v>operational</x:v>
      </x:c>
      <x:c r="D434" s="20" t="str">
        <x:v>Others (districts not specified) [Waste to Energy (Off-grid)] Tamil Nadu N.A. 27.57</x:v>
      </x:c>
      <x:c r="E434" s="14" t="str">
        <x:v>Tamil Nadu</x:v>
      </x:c>
      <x:c r="F434" s="14" t="str">
        <x:v>N.A.</x:v>
      </x:c>
      <x:c r="G434" s="14" t="str">
        <x:v>Tiruchirappalli</x:v>
      </x:c>
      <x:c r="H434" s="14" t="str">
        <x:v>N.A.</x:v>
      </x:c>
      <x:c r="I434" s="15" t="n">
        <x:v>27.57</x:v>
      </x:c>
      <x:c r="J434" s="16" t="n">
        <x:v>0.021768049340911838</x:v>
      </x:c>
      <x:c r="K434" s="15" t="n">
        <x:f>I434*J434</x:f>
        <x:v>0.6001451203289394</x:v>
      </x:c>
      <x:c r="L434" s="20" t="str">
        <x:v>Others (districts not specified) [Waste to Energy (Off-grid)]</x:v>
      </x:c>
      <x:c r="M434" s="20" t="str">
        <x:v>Proportional proxy using known Bio Power capacity by district in PlantInfo</x:v>
      </x:c>
      <x:c r="N434" s="20" t="str">
        <x:v>https://mnre.gov.in/en/physical-progress/</x:v>
      </x:c>
      <x:c r="O434" s="20" t="str">
        <x:v>Low</x:v>
      </x:c>
      <x:c r="P434" s="20" t="str">
        <x:v>This is a statewide/residual category, not a plant-level record. The allocation preserves the row total but is an analytical proxy, not an observed facility location.</x:v>
      </x:c>
    </x:row>
    <x:row r="435">
      <x:c r="A435" s="14" t="n">
        <x:v>253</x:v>
      </x:c>
      <x:c r="B435" s="14" t="str">
        <x:v>Bio Power</x:v>
      </x:c>
      <x:c r="C435" s="14" t="str">
        <x:v>operational</x:v>
      </x:c>
      <x:c r="D435" s="20" t="str">
        <x:v>Others (districts not specified) [Waste to Energy (Off-grid)] Tamil Nadu N.A. 27.57</x:v>
      </x:c>
      <x:c r="E435" s="14" t="str">
        <x:v>Tamil Nadu</x:v>
      </x:c>
      <x:c r="F435" s="14" t="str">
        <x:v>N.A.</x:v>
      </x:c>
      <x:c r="G435" s="14" t="str">
        <x:v>Tirunelveli</x:v>
      </x:c>
      <x:c r="H435" s="14" t="str">
        <x:v>N.A.</x:v>
      </x:c>
      <x:c r="I435" s="15" t="n">
        <x:v>27.57</x:v>
      </x:c>
      <x:c r="J435" s="16" t="n">
        <x:v>0.1209336074495102</x:v>
      </x:c>
      <x:c r="K435" s="15" t="n">
        <x:f>I435*J435</x:f>
        <x:v>3.3341395573829966</x:v>
      </x:c>
      <x:c r="L435" s="20" t="str">
        <x:v>Others (districts not specified) [Waste to Energy (Off-grid)]</x:v>
      </x:c>
      <x:c r="M435" s="20" t="str">
        <x:v>Proportional proxy using known Bio Power capacity by district in PlantInfo</x:v>
      </x:c>
      <x:c r="N435" s="20" t="str">
        <x:v>https://mnre.gov.in/en/physical-progress/</x:v>
      </x:c>
      <x:c r="O435" s="20" t="str">
        <x:v>Low</x:v>
      </x:c>
      <x:c r="P435" s="20" t="str">
        <x:v>This is a statewide/residual category, not a plant-level record. The allocation preserves the row total but is an analytical proxy, not an observed facility location.</x:v>
      </x:c>
    </x:row>
    <x:row r="436">
      <x:c r="A436" s="14" t="n">
        <x:v>253</x:v>
      </x:c>
      <x:c r="B436" s="14" t="str">
        <x:v>Bio Power</x:v>
      </x:c>
      <x:c r="C436" s="14" t="str">
        <x:v>operational</x:v>
      </x:c>
      <x:c r="D436" s="20" t="str">
        <x:v>Others (districts not specified) [Waste to Energy (Off-grid)] Tamil Nadu N.A. 27.57</x:v>
      </x:c>
      <x:c r="E436" s="14" t="str">
        <x:v>Tamil Nadu</x:v>
      </x:c>
      <x:c r="F436" s="14" t="str">
        <x:v>N.A.</x:v>
      </x:c>
      <x:c r="G436" s="14" t="str">
        <x:v>Tiruvallur</x:v>
      </x:c>
      <x:c r="H436" s="14" t="str">
        <x:v>N.A.</x:v>
      </x:c>
      <x:c r="I436" s="15" t="n">
        <x:v>27.57</x:v>
      </x:c>
      <x:c r="J436" s="16" t="n">
        <x:v>0.00568387955012698</x:v>
      </x:c>
      <x:c r="K436" s="15" t="n">
        <x:f>I436*J436</x:f>
        <x:v>0.15670455919700083</x:v>
      </x:c>
      <x:c r="L436" s="20" t="str">
        <x:v>Others (districts not specified) [Waste to Energy (Off-grid)]</x:v>
      </x:c>
      <x:c r="M436" s="20" t="str">
        <x:v>Proportional proxy using known Bio Power capacity by district in PlantInfo</x:v>
      </x:c>
      <x:c r="N436" s="20" t="str">
        <x:v>https://mnre.gov.in/en/physical-progress/</x:v>
      </x:c>
      <x:c r="O436" s="20" t="str">
        <x:v>Low</x:v>
      </x:c>
      <x:c r="P436" s="20" t="str">
        <x:v>This is a statewide/residual category, not a plant-level record. The allocation preserves the row total but is an analytical proxy, not an observed facility location.</x:v>
      </x:c>
    </x:row>
    <x:row r="437">
      <x:c r="A437" s="14" t="n">
        <x:v>253</x:v>
      </x:c>
      <x:c r="B437" s="14" t="str">
        <x:v>Bio Power</x:v>
      </x:c>
      <x:c r="C437" s="14" t="str">
        <x:v>operational</x:v>
      </x:c>
      <x:c r="D437" s="20" t="str">
        <x:v>Others (districts not specified) [Waste to Energy (Off-grid)] Tamil Nadu N.A. 27.57</x:v>
      </x:c>
      <x:c r="E437" s="14" t="str">
        <x:v>Tamil Nadu</x:v>
      </x:c>
      <x:c r="F437" s="14" t="str">
        <x:v>N.A.</x:v>
      </x:c>
      <x:c r="G437" s="14" t="str">
        <x:v>Tiruvannamalai</x:v>
      </x:c>
      <x:c r="H437" s="14" t="str">
        <x:v>N.A.</x:v>
      </x:c>
      <x:c r="I437" s="15" t="n">
        <x:v>27.57</x:v>
      </x:c>
      <x:c r="J437" s="16" t="n">
        <x:v>0.09408634659571893</x:v>
      </x:c>
      <x:c r="K437" s="15" t="n">
        <x:f>I437*J437</x:f>
        <x:v>2.593960575643971</x:v>
      </x:c>
      <x:c r="L437" s="20" t="str">
        <x:v>Others (districts not specified) [Waste to Energy (Off-grid)]</x:v>
      </x:c>
      <x:c r="M437" s="20" t="str">
        <x:v>Proportional proxy using known Bio Power capacity by district in PlantInfo</x:v>
      </x:c>
      <x:c r="N437" s="20" t="str">
        <x:v>https://mnre.gov.in/en/physical-progress/</x:v>
      </x:c>
      <x:c r="O437" s="20" t="str">
        <x:v>Low</x:v>
      </x:c>
      <x:c r="P437" s="20" t="str">
        <x:v>This is a statewide/residual category, not a plant-level record. The allocation preserves the row total but is an analytical proxy, not an observed facility location.</x:v>
      </x:c>
    </x:row>
    <x:row r="438">
      <x:c r="A438" s="14" t="n">
        <x:v>253</x:v>
      </x:c>
      <x:c r="B438" s="14" t="str">
        <x:v>Bio Power</x:v>
      </x:c>
      <x:c r="C438" s="14" t="str">
        <x:v>operational</x:v>
      </x:c>
      <x:c r="D438" s="20" t="str">
        <x:v>Others (districts not specified) [Waste to Energy (Off-grid)] Tamil Nadu N.A. 27.57</x:v>
      </x:c>
      <x:c r="E438" s="14" t="str">
        <x:v>Tamil Nadu</x:v>
      </x:c>
      <x:c r="F438" s="14" t="str">
        <x:v>N.A.</x:v>
      </x:c>
      <x:c r="G438" s="14" t="str">
        <x:v>Viluppuram</x:v>
      </x:c>
      <x:c r="H438" s="14" t="str">
        <x:v>N.A.</x:v>
      </x:c>
      <x:c r="I438" s="15" t="n">
        <x:v>27.57</x:v>
      </x:c>
      <x:c r="J438" s="16" t="n">
        <x:v>0.07739750876768653</x:v>
      </x:c>
      <x:c r="K438" s="15" t="n">
        <x:f>I438*J438</x:f>
        <x:v>2.133849316725118</x:v>
      </x:c>
      <x:c r="L438" s="20" t="str">
        <x:v>Others (districts not specified) [Waste to Energy (Off-grid)]</x:v>
      </x:c>
      <x:c r="M438" s="20" t="str">
        <x:v>Proportional proxy using known Bio Power capacity by district in PlantInfo</x:v>
      </x:c>
      <x:c r="N438" s="20" t="str">
        <x:v>https://mnre.gov.in/en/physical-progress/</x:v>
      </x:c>
      <x:c r="O438" s="20" t="str">
        <x:v>Low</x:v>
      </x:c>
      <x:c r="P438" s="20" t="str">
        <x:v>This is a statewide/residual category, not a plant-level record. The allocation preserves the row total but is an analytical proxy, not an observed facility location.</x:v>
      </x:c>
    </x:row>
    <x:row r="439">
      <x:c r="A439" s="14" t="n">
        <x:v>253</x:v>
      </x:c>
      <x:c r="B439" s="14" t="str">
        <x:v>Bio Power</x:v>
      </x:c>
      <x:c r="C439" s="14" t="str">
        <x:v>operational</x:v>
      </x:c>
      <x:c r="D439" s="20" t="str">
        <x:v>Others (districts not specified) [Waste to Energy (Off-grid)] Tamil Nadu N.A. 27.57</x:v>
      </x:c>
      <x:c r="E439" s="14" t="str">
        <x:v>Tamil Nadu</x:v>
      </x:c>
      <x:c r="F439" s="14" t="str">
        <x:v>N.A.</x:v>
      </x:c>
      <x:c r="G439" s="14" t="str">
        <x:v>Virudhunagar</x:v>
      </x:c>
      <x:c r="H439" s="14" t="str">
        <x:v>N.A.</x:v>
      </x:c>
      <x:c r="I439" s="15" t="n">
        <x:v>27.57</x:v>
      </x:c>
      <x:c r="J439" s="16" t="n">
        <x:v>0.018079574313701774</x:v>
      </x:c>
      <x:c r="K439" s="15" t="n">
        <x:f>I439*J439</x:f>
        <x:v>0.4984538638287579</x:v>
      </x:c>
      <x:c r="L439" s="20" t="str">
        <x:v>Others (districts not specified) [Waste to Energy (Off-grid)]</x:v>
      </x:c>
      <x:c r="M439" s="20" t="str">
        <x:v>Proportional proxy using known Bio Power capacity by district in PlantInfo</x:v>
      </x:c>
      <x:c r="N439" s="20" t="str">
        <x:v>https://mnre.gov.in/en/physical-progress/</x:v>
      </x:c>
      <x:c r="O439" s="20" t="str">
        <x:v>Low</x:v>
      </x:c>
      <x:c r="P439" s="20" t="str">
        <x:v>This is a statewide/residual category, not a plant-level record. The allocation preserves the row total but is an analytical proxy, not an observed facility location.</x:v>
      </x:c>
    </x:row>
    <x:row r="440">
      <x:c r="A440" s="14" t="n">
        <x:v>254</x:v>
      </x:c>
      <x:c r="B440" s="14" t="str">
        <x:v>Bio Power</x:v>
      </x:c>
      <x:c r="C440" s="14" t="str">
        <x:v>operational</x:v>
      </x:c>
      <x:c r="D440" s="20" t="str">
        <x:v>Ponni Sugars Limited Tamil Nadu Erode 19</x:v>
      </x:c>
      <x:c r="E440" s="14" t="str">
        <x:v>Tamil Nadu</x:v>
      </x:c>
      <x:c r="F440" s="14" t="str">
        <x:v>Erode</x:v>
      </x:c>
      <x:c r="G440" s="14" t="str">
        <x:v>Erode</x:v>
      </x:c>
      <x:c r="H440" s="14" t="str">
        <x:v>N.A.</x:v>
      </x:c>
      <x:c r="I440" s="15" t="n">
        <x:v>19</x:v>
      </x:c>
      <x:c r="J440" s="16" t="n">
        <x:v>1</x:v>
      </x:c>
      <x:c r="K440" s="15" t="n">
        <x:f>I440*J440</x:f>
        <x:v>19</x:v>
      </x:c>
      <x:c r="L440" s="20" t="str">
        <x:v>Ponni Sugars Limited</x:v>
      </x:c>
      <x:c r="M440" s="20" t="str">
        <x:v>District carried from original workbook</x:v>
      </x:c>
      <x:c r="N440" s="20" t="str"/>
      <x:c r="O440" s="20" t="str">
        <x:v>Existing</x:v>
      </x:c>
      <x:c r="P440" s="20" t="str">
        <x:v>No online correction applied because a single district was already provided.</x:v>
      </x:c>
    </x:row>
    <x:row r="441">
      <x:c r="A441" s="14" t="n">
        <x:v>255</x:v>
      </x:c>
      <x:c r="B441" s="14" t="str">
        <x:v>Bio Power</x:v>
      </x:c>
      <x:c r="C441" s="14" t="str">
        <x:v>operational</x:v>
      </x:c>
      <x:c r="D441" s="20" t="str">
        <x:v>Prathyusha Power Pvt. Ltd. Tamil Nadu Tirunelveli 10</x:v>
      </x:c>
      <x:c r="E441" s="14" t="str">
        <x:v>Tamil Nadu</x:v>
      </x:c>
      <x:c r="F441" s="14" t="str">
        <x:v>Tirunelveli</x:v>
      </x:c>
      <x:c r="G441" s="14" t="str">
        <x:v>Tirunelveli</x:v>
      </x:c>
      <x:c r="H441" s="14" t="str">
        <x:v>N.A.</x:v>
      </x:c>
      <x:c r="I441" s="15" t="n">
        <x:v>10</x:v>
      </x:c>
      <x:c r="J441" s="16" t="n">
        <x:v>1</x:v>
      </x:c>
      <x:c r="K441" s="15" t="n">
        <x:f>I441*J441</x:f>
        <x:v>10</x:v>
      </x:c>
      <x:c r="L441" s="20" t="str">
        <x:v>Prathyusha Power Pvt. Ltd.</x:v>
      </x:c>
      <x:c r="M441" s="20" t="str">
        <x:v>District carried from original workbook</x:v>
      </x:c>
      <x:c r="N441" s="20" t="str"/>
      <x:c r="O441" s="20" t="str">
        <x:v>Existing</x:v>
      </x:c>
      <x:c r="P441" s="20" t="str">
        <x:v>No online correction applied because a single district was already provided.</x:v>
      </x:c>
    </x:row>
    <x:row r="442">
      <x:c r="A442" s="14" t="n">
        <x:v>256</x:v>
      </x:c>
      <x:c r="B442" s="14" t="str">
        <x:v>Bio Power</x:v>
      </x:c>
      <x:c r="C442" s="14" t="str">
        <x:v>operational</x:v>
      </x:c>
      <x:c r="D442" s="20" t="str">
        <x:v>Rajashree Sugars &amp; Chemicals Ltd. Tamil Nadu Theni 12</x:v>
      </x:c>
      <x:c r="E442" s="14" t="str">
        <x:v>Tamil Nadu</x:v>
      </x:c>
      <x:c r="F442" s="14" t="str">
        <x:v>Theni</x:v>
      </x:c>
      <x:c r="G442" s="14" t="str">
        <x:v>Theni</x:v>
      </x:c>
      <x:c r="H442" s="14" t="str">
        <x:v>N.A.</x:v>
      </x:c>
      <x:c r="I442" s="15" t="n">
        <x:v>12</x:v>
      </x:c>
      <x:c r="J442" s="16" t="n">
        <x:v>1</x:v>
      </x:c>
      <x:c r="K442" s="15" t="n">
        <x:f>I442*J442</x:f>
        <x:v>12</x:v>
      </x:c>
      <x:c r="L442" s="20" t="str">
        <x:v>Rajashree Sugars &amp; Chemicals Ltd.</x:v>
      </x:c>
      <x:c r="M442" s="20" t="str">
        <x:v>District carried from original workbook</x:v>
      </x:c>
      <x:c r="N442" s="20" t="str"/>
      <x:c r="O442" s="20" t="str">
        <x:v>Existing</x:v>
      </x:c>
      <x:c r="P442" s="20" t="str">
        <x:v>No online correction applied because a single district was already provided.</x:v>
      </x:c>
    </x:row>
    <x:row r="443">
      <x:c r="A443" s="14" t="n">
        <x:v>257</x:v>
      </x:c>
      <x:c r="B443" s="14" t="str">
        <x:v>Bio Power</x:v>
      </x:c>
      <x:c r="C443" s="14" t="str">
        <x:v>operational</x:v>
      </x:c>
      <x:c r="D443" s="20" t="str">
        <x:v>Rajashree Sugars &amp; Chemicals Ltd. Tamil Nadu Viluppuram 20</x:v>
      </x:c>
      <x:c r="E443" s="14" t="str">
        <x:v>Tamil Nadu</x:v>
      </x:c>
      <x:c r="F443" s="14" t="str">
        <x:v>Viluppuram</x:v>
      </x:c>
      <x:c r="G443" s="14" t="str">
        <x:v>Viluppuram</x:v>
      </x:c>
      <x:c r="H443" s="14" t="str">
        <x:v>N.A.</x:v>
      </x:c>
      <x:c r="I443" s="15" t="n">
        <x:v>20</x:v>
      </x:c>
      <x:c r="J443" s="16" t="n">
        <x:v>1</x:v>
      </x:c>
      <x:c r="K443" s="15" t="n">
        <x:f>I443*J443</x:f>
        <x:v>20</x:v>
      </x:c>
      <x:c r="L443" s="20" t="str">
        <x:v>Rajashree Sugars &amp; Chemicals Ltd.</x:v>
      </x:c>
      <x:c r="M443" s="20" t="str">
        <x:v>District carried from original workbook</x:v>
      </x:c>
      <x:c r="N443" s="20" t="str"/>
      <x:c r="O443" s="20" t="str">
        <x:v>Existing</x:v>
      </x:c>
      <x:c r="P443" s="20" t="str">
        <x:v>No online correction applied because a single district was already provided.</x:v>
      </x:c>
    </x:row>
    <x:row r="444">
      <x:c r="A444" s="14" t="n">
        <x:v>258</x:v>
      </x:c>
      <x:c r="B444" s="14" t="str">
        <x:v>Bio Power</x:v>
      </x:c>
      <x:c r="C444" s="14" t="str">
        <x:v>operational</x:v>
      </x:c>
      <x:c r="D444" s="20" t="str">
        <x:v>Rajashree Sugars &amp; Chemicals Ltd. Tamil Nadu Viluppuram 22</x:v>
      </x:c>
      <x:c r="E444" s="14" t="str">
        <x:v>Tamil Nadu</x:v>
      </x:c>
      <x:c r="F444" s="14" t="str">
        <x:v>Viluppuram</x:v>
      </x:c>
      <x:c r="G444" s="14" t="str">
        <x:v>Viluppuram</x:v>
      </x:c>
      <x:c r="H444" s="14" t="str">
        <x:v>N.A.</x:v>
      </x:c>
      <x:c r="I444" s="15" t="n">
        <x:v>22</x:v>
      </x:c>
      <x:c r="J444" s="16" t="n">
        <x:v>1</x:v>
      </x:c>
      <x:c r="K444" s="15" t="n">
        <x:f>I444*J444</x:f>
        <x:v>22</x:v>
      </x:c>
      <x:c r="L444" s="20" t="str">
        <x:v>Rajashree Sugars &amp; Chemicals Ltd.</x:v>
      </x:c>
      <x:c r="M444" s="20" t="str">
        <x:v>District carried from original workbook</x:v>
      </x:c>
      <x:c r="N444" s="20" t="str"/>
      <x:c r="O444" s="20" t="str">
        <x:v>Existing</x:v>
      </x:c>
      <x:c r="P444" s="20" t="str">
        <x:v>No online correction applied because a single district was already provided.</x:v>
      </x:c>
    </x:row>
    <x:row r="445">
      <x:c r="A445" s="14" t="n">
        <x:v>259</x:v>
      </x:c>
      <x:c r="B445" s="14" t="str">
        <x:v>Bio Power</x:v>
      </x:c>
      <x:c r="C445" s="14" t="str">
        <x:v>operational</x:v>
      </x:c>
      <x:c r="D445" s="20" t="str">
        <x:v>Rajkumar Impex(P) Ltd. Tamil Nadu Thoothukkudi 6</x:v>
      </x:c>
      <x:c r="E445" s="14" t="str">
        <x:v>Tamil Nadu</x:v>
      </x:c>
      <x:c r="F445" s="14" t="str">
        <x:v>Thoothukkudi</x:v>
      </x:c>
      <x:c r="G445" s="14" t="str">
        <x:v>Thoothukudi</x:v>
      </x:c>
      <x:c r="H445" s="14" t="str">
        <x:v>N.A.</x:v>
      </x:c>
      <x:c r="I445" s="15" t="n">
        <x:v>6</x:v>
      </x:c>
      <x:c r="J445" s="16" t="n">
        <x:v>1</x:v>
      </x:c>
      <x:c r="K445" s="15" t="n">
        <x:f>I445*J445</x:f>
        <x:v>6</x:v>
      </x:c>
      <x:c r="L445" s="20" t="str">
        <x:v>Rajkumar Impex(P) Ltd.</x:v>
      </x:c>
      <x:c r="M445" s="20" t="str">
        <x:v>District carried from original workbook</x:v>
      </x:c>
      <x:c r="N445" s="20" t="str"/>
      <x:c r="O445" s="20" t="str">
        <x:v>Existing</x:v>
      </x:c>
      <x:c r="P445" s="20" t="str">
        <x:v>No online correction applied because a single district was already provided.</x:v>
      </x:c>
    </x:row>
    <x:row r="446">
      <x:c r="A446" s="14" t="n">
        <x:v>260</x:v>
      </x:c>
      <x:c r="B446" s="14" t="str">
        <x:v>Bio Power</x:v>
      </x:c>
      <x:c r="C446" s="14" t="str">
        <x:v>operational</x:v>
      </x:c>
      <x:c r="D446" s="20" t="str">
        <x:v>Renuka Textiles Limited Tamil Nadu Theni 4.5</x:v>
      </x:c>
      <x:c r="E446" s="14" t="str">
        <x:v>Tamil Nadu</x:v>
      </x:c>
      <x:c r="F446" s="14" t="str">
        <x:v>Theni</x:v>
      </x:c>
      <x:c r="G446" s="14" t="str">
        <x:v>Theni</x:v>
      </x:c>
      <x:c r="H446" s="14" t="str">
        <x:v>N.A.</x:v>
      </x:c>
      <x:c r="I446" s="15" t="n">
        <x:v>4.5</x:v>
      </x:c>
      <x:c r="J446" s="16" t="n">
        <x:v>1</x:v>
      </x:c>
      <x:c r="K446" s="15" t="n">
        <x:f>I446*J446</x:f>
        <x:v>4.5</x:v>
      </x:c>
      <x:c r="L446" s="20" t="str">
        <x:v>Renuka Textiles Limited</x:v>
      </x:c>
      <x:c r="M446" s="20" t="str">
        <x:v>District carried from original workbook</x:v>
      </x:c>
      <x:c r="N446" s="20" t="str"/>
      <x:c r="O446" s="20" t="str">
        <x:v>Existing</x:v>
      </x:c>
      <x:c r="P446" s="20" t="str">
        <x:v>No online correction applied because a single district was already provided.</x:v>
      </x:c>
    </x:row>
    <x:row r="447">
      <x:c r="A447" s="14" t="n">
        <x:v>261</x:v>
      </x:c>
      <x:c r="B447" s="14" t="str">
        <x:v>Bio Power</x:v>
      </x:c>
      <x:c r="C447" s="14" t="str">
        <x:v>operational</x:v>
      </x:c>
      <x:c r="D447" s="20" t="str">
        <x:v>S.V Sugar Mills Ltd. Tamil Nadu Kancheepuram 45</x:v>
      </x:c>
      <x:c r="E447" s="14" t="str">
        <x:v>Tamil Nadu</x:v>
      </x:c>
      <x:c r="F447" s="14" t="str">
        <x:v>Kancheepuram</x:v>
      </x:c>
      <x:c r="G447" s="14" t="str">
        <x:v>Kanchipuram</x:v>
      </x:c>
      <x:c r="H447" s="14" t="str">
        <x:v>N.A.</x:v>
      </x:c>
      <x:c r="I447" s="15" t="n">
        <x:v>45</x:v>
      </x:c>
      <x:c r="J447" s="16" t="n">
        <x:v>1</x:v>
      </x:c>
      <x:c r="K447" s="15" t="n">
        <x:f>I447*J447</x:f>
        <x:v>45</x:v>
      </x:c>
      <x:c r="L447" s="20" t="str">
        <x:v>S.V Sugar Mills Ltd.</x:v>
      </x:c>
      <x:c r="M447" s="20" t="str">
        <x:v>District carried from original workbook</x:v>
      </x:c>
      <x:c r="N447" s="20" t="str"/>
      <x:c r="O447" s="20" t="str">
        <x:v>Existing</x:v>
      </x:c>
      <x:c r="P447" s="20" t="str">
        <x:v>No online correction applied because a single district was already provided.</x:v>
      </x:c>
    </x:row>
    <x:row r="448">
      <x:c r="A448" s="14" t="n">
        <x:v>262</x:v>
      </x:c>
      <x:c r="B448" s="14" t="str">
        <x:v>Bio Power</x:v>
      </x:c>
      <x:c r="C448" s="14" t="str">
        <x:v>operational</x:v>
      </x:c>
      <x:c r="D448" s="20" t="str">
        <x:v>Saastha Energy(P) Ltd Tamil Nadu N.A. 2</x:v>
      </x:c>
      <x:c r="E448" s="14" t="str">
        <x:v>Tamil Nadu</x:v>
      </x:c>
      <x:c r="F448" s="14" t="str">
        <x:v>N.A.</x:v>
      </x:c>
      <x:c r="G448" s="14" t="str">
        <x:v>Vellore</x:v>
      </x:c>
      <x:c r="H448" s="14" t="str">
        <x:v>N.A.</x:v>
      </x:c>
      <x:c r="I448" s="15" t="n">
        <x:v>2</x:v>
      </x:c>
      <x:c r="J448" s="16" t="n">
        <x:v>1</x:v>
      </x:c>
      <x:c r="K448" s="15" t="n">
        <x:f>I448*J448</x:f>
        <x:v>2</x:v>
      </x:c>
      <x:c r="L448" s="20" t="str">
        <x:v>Saastha Energy(P) Ltd</x:v>
      </x:c>
      <x:c r="M448" s="20" t="str">
        <x:v>Direct facility match in CEA plant-wise renewable-energy report</x:v>
      </x:c>
      <x:c r="N448" s="20" t="str">
        <x:v>https://cea.nic.in/wp-content/uploads/resd/2023/09/August_Plantwise_Details_2022.pdf</x:v>
      </x:c>
      <x:c r="O448" s="20" t="str">
        <x:v>High</x:v>
      </x:c>
      <x:c r="P448" s="20" t="str">
        <x:v>CEA lists Saastha Energy at Mambakkam village, Arcot Taluk, Vellore district.</x:v>
      </x:c>
    </x:row>
    <x:row r="449">
      <x:c r="A449" s="14" t="n">
        <x:v>263</x:v>
      </x:c>
      <x:c r="B449" s="14" t="str">
        <x:v>Bio Power</x:v>
      </x:c>
      <x:c r="C449" s="14" t="str">
        <x:v>operational</x:v>
      </x:c>
      <x:c r="D449" s="20" t="str">
        <x:v>Sakti Sugars Ltd. Tamil Nadu Erode 24.5</x:v>
      </x:c>
      <x:c r="E449" s="14" t="str">
        <x:v>Tamil Nadu</x:v>
      </x:c>
      <x:c r="F449" s="14" t="str">
        <x:v>Erode</x:v>
      </x:c>
      <x:c r="G449" s="14" t="str">
        <x:v>Erode</x:v>
      </x:c>
      <x:c r="H449" s="14" t="str">
        <x:v>N.A.</x:v>
      </x:c>
      <x:c r="I449" s="15" t="n">
        <x:v>24.5</x:v>
      </x:c>
      <x:c r="J449" s="16" t="n">
        <x:v>1</x:v>
      </x:c>
      <x:c r="K449" s="15" t="n">
        <x:f>I449*J449</x:f>
        <x:v>24.5</x:v>
      </x:c>
      <x:c r="L449" s="20" t="str">
        <x:v>Sakti Sugars Ltd.</x:v>
      </x:c>
      <x:c r="M449" s="20" t="str">
        <x:v>District carried from original workbook</x:v>
      </x:c>
      <x:c r="N449" s="20" t="str"/>
      <x:c r="O449" s="20" t="str">
        <x:v>Existing</x:v>
      </x:c>
      <x:c r="P449" s="20" t="str">
        <x:v>No online correction applied because a single district was already provided.</x:v>
      </x:c>
    </x:row>
    <x:row r="450">
      <x:c r="A450" s="14" t="n">
        <x:v>264</x:v>
      </x:c>
      <x:c r="B450" s="14" t="str">
        <x:v>Bio Power</x:v>
      </x:c>
      <x:c r="C450" s="14" t="str">
        <x:v>operational</x:v>
      </x:c>
      <x:c r="D450" s="20" t="str">
        <x:v>Sakti Sugars Ltd. Tamil Nadu Sivaganga 35</x:v>
      </x:c>
      <x:c r="E450" s="14" t="str">
        <x:v>Tamil Nadu</x:v>
      </x:c>
      <x:c r="F450" s="14" t="str">
        <x:v>Sivaganga</x:v>
      </x:c>
      <x:c r="G450" s="14" t="str">
        <x:v>Sivaganga</x:v>
      </x:c>
      <x:c r="H450" s="14" t="str">
        <x:v>N.A.</x:v>
      </x:c>
      <x:c r="I450" s="15" t="n">
        <x:v>35</x:v>
      </x:c>
      <x:c r="J450" s="16" t="n">
        <x:v>1</x:v>
      </x:c>
      <x:c r="K450" s="15" t="n">
        <x:f>I450*J450</x:f>
        <x:v>35</x:v>
      </x:c>
      <x:c r="L450" s="20" t="str">
        <x:v>Sakti Sugars Ltd.</x:v>
      </x:c>
      <x:c r="M450" s="20" t="str">
        <x:v>District carried from original workbook</x:v>
      </x:c>
      <x:c r="N450" s="20" t="str"/>
      <x:c r="O450" s="20" t="str">
        <x:v>Existing</x:v>
      </x:c>
      <x:c r="P450" s="20" t="str">
        <x:v>No online correction applied because a single district was already provided.</x:v>
      </x:c>
    </x:row>
    <x:row r="451">
      <x:c r="A451" s="14" t="n">
        <x:v>265</x:v>
      </x:c>
      <x:c r="B451" s="14" t="str">
        <x:v>Bio Power</x:v>
      </x:c>
      <x:c r="C451" s="14" t="str">
        <x:v>operational</x:v>
      </x:c>
      <x:c r="D451" s="20" t="str">
        <x:v>Shakti Sugars Ltd. Tamil Nadu Erode 32</x:v>
      </x:c>
      <x:c r="E451" s="14" t="str">
        <x:v>Tamil Nadu</x:v>
      </x:c>
      <x:c r="F451" s="14" t="str">
        <x:v>Erode</x:v>
      </x:c>
      <x:c r="G451" s="14" t="str">
        <x:v>Erode</x:v>
      </x:c>
      <x:c r="H451" s="14" t="str">
        <x:v>N.A.</x:v>
      </x:c>
      <x:c r="I451" s="15" t="n">
        <x:v>32</x:v>
      </x:c>
      <x:c r="J451" s="16" t="n">
        <x:v>1</x:v>
      </x:c>
      <x:c r="K451" s="15" t="n">
        <x:f>I451*J451</x:f>
        <x:v>32</x:v>
      </x:c>
      <x:c r="L451" s="20" t="str">
        <x:v>Shakti Sugars Ltd.</x:v>
      </x:c>
      <x:c r="M451" s="20" t="str">
        <x:v>District carried from original workbook</x:v>
      </x:c>
      <x:c r="N451" s="20" t="str"/>
      <x:c r="O451" s="20" t="str">
        <x:v>Existing</x:v>
      </x:c>
      <x:c r="P451" s="20" t="str">
        <x:v>No online correction applied because a single district was already provided.</x:v>
      </x:c>
    </x:row>
    <x:row r="452">
      <x:c r="A452" s="14" t="n">
        <x:v>266</x:v>
      </x:c>
      <x:c r="B452" s="14" t="str">
        <x:v>Bio Power</x:v>
      </x:c>
      <x:c r="C452" s="14" t="str">
        <x:v>operational</x:v>
      </x:c>
      <x:c r="D452" s="20" t="str">
        <x:v>Shriraam City Union Finance Ltd. Tamil Nadu Thanjavur 7.5</x:v>
      </x:c>
      <x:c r="E452" s="14" t="str">
        <x:v>Tamil Nadu</x:v>
      </x:c>
      <x:c r="F452" s="14" t="str">
        <x:v>Thanjavur</x:v>
      </x:c>
      <x:c r="G452" s="14" t="str">
        <x:v>Thanjavur</x:v>
      </x:c>
      <x:c r="H452" s="14" t="str">
        <x:v>N.A.</x:v>
      </x:c>
      <x:c r="I452" s="15" t="n">
        <x:v>7.5</x:v>
      </x:c>
      <x:c r="J452" s="16" t="n">
        <x:v>1</x:v>
      </x:c>
      <x:c r="K452" s="15" t="n">
        <x:f>I452*J452</x:f>
        <x:v>7.5</x:v>
      </x:c>
      <x:c r="L452" s="20" t="str">
        <x:v>Shriraam City Union Finance Ltd.</x:v>
      </x:c>
      <x:c r="M452" s="20" t="str">
        <x:v>District carried from original workbook</x:v>
      </x:c>
      <x:c r="N452" s="20" t="str"/>
      <x:c r="O452" s="20" t="str">
        <x:v>Existing</x:v>
      </x:c>
      <x:c r="P452" s="20" t="str">
        <x:v>No online correction applied because a single district was already provided.</x:v>
      </x:c>
    </x:row>
    <x:row r="453">
      <x:c r="A453" s="14" t="n">
        <x:v>267</x:v>
      </x:c>
      <x:c r="B453" s="14" t="str">
        <x:v>Bio Power</x:v>
      </x:c>
      <x:c r="C453" s="14" t="str">
        <x:v>operational</x:v>
      </x:c>
      <x:c r="D453" s="20" t="str">
        <x:v>Shriram Investments Ltd. Tamil Nadu Dindigul 7.5</x:v>
      </x:c>
      <x:c r="E453" s="14" t="str">
        <x:v>Tamil Nadu</x:v>
      </x:c>
      <x:c r="F453" s="14" t="str">
        <x:v>Dindigul</x:v>
      </x:c>
      <x:c r="G453" s="14" t="str">
        <x:v>Dindigul</x:v>
      </x:c>
      <x:c r="H453" s="14" t="str">
        <x:v>N.A.</x:v>
      </x:c>
      <x:c r="I453" s="15" t="n">
        <x:v>7.5</x:v>
      </x:c>
      <x:c r="J453" s="16" t="n">
        <x:v>1</x:v>
      </x:c>
      <x:c r="K453" s="15" t="n">
        <x:f>I453*J453</x:f>
        <x:v>7.5</x:v>
      </x:c>
      <x:c r="L453" s="20" t="str">
        <x:v>Shriram Investments Ltd.</x:v>
      </x:c>
      <x:c r="M453" s="20" t="str">
        <x:v>District carried from original workbook</x:v>
      </x:c>
      <x:c r="N453" s="20" t="str"/>
      <x:c r="O453" s="20" t="str">
        <x:v>Existing</x:v>
      </x:c>
      <x:c r="P453" s="20" t="str">
        <x:v>No online correction applied because a single district was already provided.</x:v>
      </x:c>
    </x:row>
    <x:row r="454">
      <x:c r="A454" s="14" t="n">
        <x:v>268</x:v>
      </x:c>
      <x:c r="B454" s="14" t="str">
        <x:v>Bio Power</x:v>
      </x:c>
      <x:c r="C454" s="14" t="str">
        <x:v>operational</x:v>
      </x:c>
      <x:c r="D454" s="20" t="str">
        <x:v>Sripathi Paper &amp; Board
(P) Ltd Tamil Nadu Virudhunagar 4.95 09.03.2011</x:v>
      </x:c>
      <x:c r="E454" s="14" t="str">
        <x:v>Tamil Nadu</x:v>
      </x:c>
      <x:c r="F454" s="14" t="str">
        <x:v>Virudhunagar</x:v>
      </x:c>
      <x:c r="G454" s="14" t="str">
        <x:v>Virudhunagar</x:v>
      </x:c>
      <x:c r="H454" s="14" t="str">
        <x:v>2011-09-03</x:v>
      </x:c>
      <x:c r="I454" s="15" t="n">
        <x:v>4.95</x:v>
      </x:c>
      <x:c r="J454" s="16" t="n">
        <x:v>1</x:v>
      </x:c>
      <x:c r="K454" s="15" t="n">
        <x:f>I454*J454</x:f>
        <x:v>4.95</x:v>
      </x:c>
      <x:c r="L454" s="20" t="str">
        <x:v>Sripathi Paper &amp; Board
(P) Ltd</x:v>
      </x:c>
      <x:c r="M454" s="20" t="str">
        <x:v>District carried from original workbook</x:v>
      </x:c>
      <x:c r="N454" s="20" t="str"/>
      <x:c r="O454" s="20" t="str">
        <x:v>Existing</x:v>
      </x:c>
      <x:c r="P454" s="20" t="str">
        <x:v>No online correction applied because a single district was already provided.</x:v>
      </x:c>
    </x:row>
    <x:row r="455">
      <x:c r="A455" s="14" t="n">
        <x:v>269</x:v>
      </x:c>
      <x:c r="B455" s="14" t="str">
        <x:v>Bio Power</x:v>
      </x:c>
      <x:c r="C455" s="14" t="str">
        <x:v>operational</x:v>
      </x:c>
      <x:c r="D455" s="20" t="str">
        <x:v>Subashri Bio Energy (P)
Ltd. Tamil Nadu Namakkal 2.5</x:v>
      </x:c>
      <x:c r="E455" s="14" t="str">
        <x:v>Tamil Nadu</x:v>
      </x:c>
      <x:c r="F455" s="14" t="str">
        <x:v>Namakkal</x:v>
      </x:c>
      <x:c r="G455" s="14" t="str">
        <x:v>Namakkal</x:v>
      </x:c>
      <x:c r="H455" s="14" t="str">
        <x:v>N.A.</x:v>
      </x:c>
      <x:c r="I455" s="15" t="n">
        <x:v>2.5</x:v>
      </x:c>
      <x:c r="J455" s="16" t="n">
        <x:v>1</x:v>
      </x:c>
      <x:c r="K455" s="15" t="n">
        <x:f>I455*J455</x:f>
        <x:v>2.5</x:v>
      </x:c>
      <x:c r="L455" s="20" t="str">
        <x:v>Subashri Bio Energy (P)
Ltd.</x:v>
      </x:c>
      <x:c r="M455" s="20" t="str">
        <x:v>District carried from original workbook</x:v>
      </x:c>
      <x:c r="N455" s="20" t="str"/>
      <x:c r="O455" s="20" t="str">
        <x:v>Existing</x:v>
      </x:c>
      <x:c r="P455" s="20" t="str">
        <x:v>No online correction applied because a single district was already provided.</x:v>
      </x:c>
    </x:row>
    <x:row r="456">
      <x:c r="A456" s="14" t="n">
        <x:v>270</x:v>
      </x:c>
      <x:c r="B456" s="14" t="str">
        <x:v>Bio Power</x:v>
      </x:c>
      <x:c r="C456" s="14" t="str">
        <x:v>operational</x:v>
      </x:c>
      <x:c r="D456" s="20" t="str">
        <x:v>Subramania Siva Co-op Sugar Mills Tamil Nadu Dharmapuri 5</x:v>
      </x:c>
      <x:c r="E456" s="14" t="str">
        <x:v>Tamil Nadu</x:v>
      </x:c>
      <x:c r="F456" s="14" t="str">
        <x:v>Dharmapuri</x:v>
      </x:c>
      <x:c r="G456" s="14" t="str">
        <x:v>Dharmapuri</x:v>
      </x:c>
      <x:c r="H456" s="14" t="str">
        <x:v>N.A.</x:v>
      </x:c>
      <x:c r="I456" s="15" t="n">
        <x:v>5</x:v>
      </x:c>
      <x:c r="J456" s="16" t="n">
        <x:v>1</x:v>
      </x:c>
      <x:c r="K456" s="15" t="n">
        <x:f>I456*J456</x:f>
        <x:v>5</x:v>
      </x:c>
      <x:c r="L456" s="20" t="str">
        <x:v>Subramania Siva Co-op Sugar Mills</x:v>
      </x:c>
      <x:c r="M456" s="20" t="str">
        <x:v>District carried from original workbook</x:v>
      </x:c>
      <x:c r="N456" s="20" t="str"/>
      <x:c r="O456" s="20" t="str">
        <x:v>Existing</x:v>
      </x:c>
      <x:c r="P456" s="20" t="str">
        <x:v>No online correction applied because a single district was already provided.</x:v>
      </x:c>
    </x:row>
    <x:row r="457">
      <x:c r="A457" s="14" t="n">
        <x:v>271</x:v>
      </x:c>
      <x:c r="B457" s="14" t="str">
        <x:v>Bio Power</x:v>
      </x:c>
      <x:c r="C457" s="14" t="str">
        <x:v>operational</x:v>
      </x:c>
      <x:c r="D457" s="20" t="str">
        <x:v>Synergy Sakthi
Renewable energy Ltd. Tamil Nadu Dharmapuri 10</x:v>
      </x:c>
      <x:c r="E457" s="14" t="str">
        <x:v>Tamil Nadu</x:v>
      </x:c>
      <x:c r="F457" s="14" t="str">
        <x:v>Dharmapuri</x:v>
      </x:c>
      <x:c r="G457" s="14" t="str">
        <x:v>Dharmapuri</x:v>
      </x:c>
      <x:c r="H457" s="14" t="str">
        <x:v>N.A.</x:v>
      </x:c>
      <x:c r="I457" s="15" t="n">
        <x:v>10</x:v>
      </x:c>
      <x:c r="J457" s="16" t="n">
        <x:v>1</x:v>
      </x:c>
      <x:c r="K457" s="15" t="n">
        <x:f>I457*J457</x:f>
        <x:v>10</x:v>
      </x:c>
      <x:c r="L457" s="20" t="str">
        <x:v>Synergy Sakthi
Renewable energy Ltd.</x:v>
      </x:c>
      <x:c r="M457" s="20" t="str">
        <x:v>District carried from original workbook</x:v>
      </x:c>
      <x:c r="N457" s="20" t="str"/>
      <x:c r="O457" s="20" t="str">
        <x:v>Existing</x:v>
      </x:c>
      <x:c r="P457" s="20" t="str">
        <x:v>No online correction applied because a single district was already provided.</x:v>
      </x:c>
    </x:row>
    <x:row r="458">
      <x:c r="A458" s="14" t="n">
        <x:v>272</x:v>
      </x:c>
      <x:c r="B458" s="14" t="str">
        <x:v>Bio Power</x:v>
      </x:c>
      <x:c r="C458" s="14" t="str">
        <x:v>operational</x:v>
      </x:c>
      <x:c r="D458" s="20" t="str">
        <x:v>TCP Ltd. Tamil Nadu Sivaganga 9</x:v>
      </x:c>
      <x:c r="E458" s="14" t="str">
        <x:v>Tamil Nadu</x:v>
      </x:c>
      <x:c r="F458" s="14" t="str">
        <x:v>Sivaganga</x:v>
      </x:c>
      <x:c r="G458" s="14" t="str">
        <x:v>Sivaganga</x:v>
      </x:c>
      <x:c r="H458" s="14" t="str">
        <x:v>N.A.</x:v>
      </x:c>
      <x:c r="I458" s="15" t="n">
        <x:v>9</x:v>
      </x:c>
      <x:c r="J458" s="16" t="n">
        <x:v>1</x:v>
      </x:c>
      <x:c r="K458" s="15" t="n">
        <x:f>I458*J458</x:f>
        <x:v>9</x:v>
      </x:c>
      <x:c r="L458" s="20" t="str">
        <x:v>TCP Ltd.</x:v>
      </x:c>
      <x:c r="M458" s="20" t="str">
        <x:v>District carried from original workbook</x:v>
      </x:c>
      <x:c r="N458" s="20" t="str"/>
      <x:c r="O458" s="20" t="str">
        <x:v>Existing</x:v>
      </x:c>
      <x:c r="P458" s="20" t="str">
        <x:v>No online correction applied because a single district was already provided.</x:v>
      </x:c>
    </x:row>
    <x:row r="459">
      <x:c r="A459" s="14" t="n">
        <x:v>273</x:v>
      </x:c>
      <x:c r="B459" s="14" t="str">
        <x:v>Bio Power</x:v>
      </x:c>
      <x:c r="C459" s="14" t="str">
        <x:v>operational</x:v>
      </x:c>
      <x:c r="D459" s="20" t="str">
        <x:v>Terra Energy Ltd. Tamil Nadu Cuddalore 18.68</x:v>
      </x:c>
      <x:c r="E459" s="14" t="str">
        <x:v>Tamil Nadu</x:v>
      </x:c>
      <x:c r="F459" s="14" t="str">
        <x:v>Cuddalore</x:v>
      </x:c>
      <x:c r="G459" s="14" t="str">
        <x:v>Cuddalore</x:v>
      </x:c>
      <x:c r="H459" s="14" t="str">
        <x:v>N.A.</x:v>
      </x:c>
      <x:c r="I459" s="15" t="n">
        <x:v>18.68</x:v>
      </x:c>
      <x:c r="J459" s="16" t="n">
        <x:v>1</x:v>
      </x:c>
      <x:c r="K459" s="15" t="n">
        <x:f>I459*J459</x:f>
        <x:v>18.68</x:v>
      </x:c>
      <x:c r="L459" s="20" t="str">
        <x:v>Terra Energy Ltd.</x:v>
      </x:c>
      <x:c r="M459" s="20" t="str">
        <x:v>District carried from original workbook</x:v>
      </x:c>
      <x:c r="N459" s="20" t="str"/>
      <x:c r="O459" s="20" t="str">
        <x:v>Existing</x:v>
      </x:c>
      <x:c r="P459" s="20" t="str">
        <x:v>No online correction applied because a single district was already provided.</x:v>
      </x:c>
    </x:row>
    <x:row r="460">
      <x:c r="A460" s="14" t="n">
        <x:v>274</x:v>
      </x:c>
      <x:c r="B460" s="14" t="str">
        <x:v>Bio Power</x:v>
      </x:c>
      <x:c r="C460" s="14" t="str">
        <x:v>operational</x:v>
      </x:c>
      <x:c r="D460" s="20" t="str">
        <x:v>Terra Energy Ltd. Tamil Nadu Thanjavur 28.42</x:v>
      </x:c>
      <x:c r="E460" s="14" t="str">
        <x:v>Tamil Nadu</x:v>
      </x:c>
      <x:c r="F460" s="14" t="str">
        <x:v>Thanjavur</x:v>
      </x:c>
      <x:c r="G460" s="14" t="str">
        <x:v>Thanjavur</x:v>
      </x:c>
      <x:c r="H460" s="14" t="str">
        <x:v>N.A.</x:v>
      </x:c>
      <x:c r="I460" s="15" t="n">
        <x:v>28.42</x:v>
      </x:c>
      <x:c r="J460" s="16" t="n">
        <x:v>1</x:v>
      </x:c>
      <x:c r="K460" s="15" t="n">
        <x:f>I460*J460</x:f>
        <x:v>28.42</x:v>
      </x:c>
      <x:c r="L460" s="20" t="str">
        <x:v>Terra Energy Ltd.</x:v>
      </x:c>
      <x:c r="M460" s="20" t="str">
        <x:v>District carried from original workbook</x:v>
      </x:c>
      <x:c r="N460" s="20" t="str"/>
      <x:c r="O460" s="20" t="str">
        <x:v>Existing</x:v>
      </x:c>
      <x:c r="P460" s="20" t="str">
        <x:v>No online correction applied because a single district was already provided.</x:v>
      </x:c>
    </x:row>
    <x:row r="461">
      <x:c r="A461" s="14" t="n">
        <x:v>275</x:v>
      </x:c>
      <x:c r="B461" s="14" t="str">
        <x:v>Nuclear</x:v>
      </x:c>
      <x:c r="C461" s="14" t="str">
        <x:v>pipeline</x:v>
      </x:c>
      <x:c r="D461" s="20" t="str">
        <x:v>BHAVINI PFBR Atomic Power Station</x:v>
      </x:c>
      <x:c r="E461" s="14" t="str">
        <x:v>Tamil Nadu</x:v>
      </x:c>
      <x:c r="F461" s="14" t="str">
        <x:v>Kancheepuram</x:v>
      </x:c>
      <x:c r="G461" s="14" t="str">
        <x:v>Kanchipuram</x:v>
      </x:c>
      <x:c r="H461" s="14" t="str">
        <x:v>2024-06-18</x:v>
      </x:c>
      <x:c r="I461" s="15" t="n">
        <x:v>500</x:v>
      </x:c>
      <x:c r="J461" s="16" t="n">
        <x:v>1</x:v>
      </x:c>
      <x:c r="K461" s="15" t="n">
        <x:f>I461*J461</x:f>
        <x:v>500</x:v>
      </x:c>
      <x:c r="L461" s="20" t="str">
        <x:v>Bharatiya Nabhikiya Vidyut Nigam Limited</x:v>
      </x:c>
      <x:c r="M461" s="20" t="str">
        <x:v>District carried from original workbook</x:v>
      </x:c>
      <x:c r="N461" s="20" t="str"/>
      <x:c r="O461" s="20" t="str">
        <x:v>Existing</x:v>
      </x:c>
      <x:c r="P461" s="20" t="str">
        <x:v>No online correction applied because a single district was already provided.</x:v>
      </x:c>
    </x:row>
    <x:row r="462">
      <x:c r="A462" s="14" t="n">
        <x:v>276</x:v>
      </x:c>
      <x:c r="B462" s="14" t="str">
        <x:v>Nuclear</x:v>
      </x:c>
      <x:c r="C462" s="14" t="str">
        <x:v>operational</x:v>
      </x:c>
      <x:c r="D462" s="20" t="str">
        <x:v>Kudankulam Atomic Power Project</x:v>
      </x:c>
      <x:c r="E462" s="14" t="str">
        <x:v>Tamil Nadu</x:v>
      </x:c>
      <x:c r="F462" s="14" t="str">
        <x:v>Tirunelveli</x:v>
      </x:c>
      <x:c r="G462" s="14" t="str">
        <x:v>Tirunelveli</x:v>
      </x:c>
      <x:c r="H462" s="14" t="str">
        <x:v>2014-12-31</x:v>
      </x:c>
      <x:c r="I462" s="15" t="n">
        <x:v>1000</x:v>
      </x:c>
      <x:c r="J462" s="16" t="n">
        <x:v>1</x:v>
      </x:c>
      <x:c r="K462" s="15" t="n">
        <x:f>I462*J462</x:f>
        <x:v>1000</x:v>
      </x:c>
      <x:c r="L462" s="20" t="str">
        <x:v>Nuclear Power Corporation of India</x:v>
      </x:c>
      <x:c r="M462" s="20" t="str">
        <x:v>District carried from original workbook</x:v>
      </x:c>
      <x:c r="N462" s="20" t="str"/>
      <x:c r="O462" s="20" t="str">
        <x:v>Existing</x:v>
      </x:c>
      <x:c r="P462" s="20" t="str">
        <x:v>No online correction applied because a single district was already provided.</x:v>
      </x:c>
    </x:row>
    <x:row r="463">
      <x:c r="A463" s="14" t="n">
        <x:v>277</x:v>
      </x:c>
      <x:c r="B463" s="14" t="str">
        <x:v>Nuclear</x:v>
      </x:c>
      <x:c r="C463" s="14" t="str">
        <x:v>operational</x:v>
      </x:c>
      <x:c r="D463" s="20" t="str">
        <x:v>Kudankulam Atomic Power Project</x:v>
      </x:c>
      <x:c r="E463" s="14" t="str">
        <x:v>Tamil Nadu</x:v>
      </x:c>
      <x:c r="F463" s="14" t="str">
        <x:v>Tirunelveli</x:v>
      </x:c>
      <x:c r="G463" s="14" t="str">
        <x:v>Tirunelveli</x:v>
      </x:c>
      <x:c r="H463" s="14" t="str">
        <x:v>2017-03-31</x:v>
      </x:c>
      <x:c r="I463" s="15" t="n">
        <x:v>1000</x:v>
      </x:c>
      <x:c r="J463" s="16" t="n">
        <x:v>1</x:v>
      </x:c>
      <x:c r="K463" s="15" t="n">
        <x:f>I463*J463</x:f>
        <x:v>1000</x:v>
      </x:c>
      <x:c r="L463" s="20" t="str">
        <x:v>Nuclear Power Corporation of India</x:v>
      </x:c>
      <x:c r="M463" s="20" t="str">
        <x:v>District carried from original workbook</x:v>
      </x:c>
      <x:c r="N463" s="20" t="str"/>
      <x:c r="O463" s="20" t="str">
        <x:v>Existing</x:v>
      </x:c>
      <x:c r="P463" s="20" t="str">
        <x:v>No online correction applied because a single district was already provided.</x:v>
      </x:c>
    </x:row>
    <x:row r="464">
      <x:c r="A464" s="14" t="n">
        <x:v>278</x:v>
      </x:c>
      <x:c r="B464" s="14" t="str">
        <x:v>Nuclear</x:v>
      </x:c>
      <x:c r="C464" s="14" t="str">
        <x:v>pipeline</x:v>
      </x:c>
      <x:c r="D464" s="20" t="str">
        <x:v>Kudankulam Atomic Power Project</x:v>
      </x:c>
      <x:c r="E464" s="14" t="str">
        <x:v>Tamil Nadu</x:v>
      </x:c>
      <x:c r="F464" s="14" t="str">
        <x:v>Tirunelveli</x:v>
      </x:c>
      <x:c r="G464" s="14" t="str">
        <x:v>Tirunelveli</x:v>
      </x:c>
      <x:c r="H464" s="14" t="str">
        <x:v>2025-06-18</x:v>
      </x:c>
      <x:c r="I464" s="15" t="n">
        <x:v>1000</x:v>
      </x:c>
      <x:c r="J464" s="16" t="n">
        <x:v>1</x:v>
      </x:c>
      <x:c r="K464" s="15" t="n">
        <x:f>I464*J464</x:f>
        <x:v>1000</x:v>
      </x:c>
      <x:c r="L464" s="20" t="str">
        <x:v>Nuclear Power Corporation of India</x:v>
      </x:c>
      <x:c r="M464" s="20" t="str">
        <x:v>District carried from original workbook</x:v>
      </x:c>
      <x:c r="N464" s="20" t="str"/>
      <x:c r="O464" s="20" t="str">
        <x:v>Existing</x:v>
      </x:c>
      <x:c r="P464" s="20" t="str">
        <x:v>No online correction applied because a single district was already provided.</x:v>
      </x:c>
    </x:row>
    <x:row r="465">
      <x:c r="A465" s="14" t="n">
        <x:v>279</x:v>
      </x:c>
      <x:c r="B465" s="14" t="str">
        <x:v>Nuclear</x:v>
      </x:c>
      <x:c r="C465" s="14" t="str">
        <x:v>pipeline</x:v>
      </x:c>
      <x:c r="D465" s="20" t="str">
        <x:v>Kudankulam Atomic Power Project</x:v>
      </x:c>
      <x:c r="E465" s="14" t="str">
        <x:v>Tamil Nadu</x:v>
      </x:c>
      <x:c r="F465" s="14" t="str">
        <x:v>Tirunelveli</x:v>
      </x:c>
      <x:c r="G465" s="14" t="str">
        <x:v>Tirunelveli</x:v>
      </x:c>
      <x:c r="H465" s="14" t="str">
        <x:v>2025-06-18</x:v>
      </x:c>
      <x:c r="I465" s="15" t="n">
        <x:v>1000</x:v>
      </x:c>
      <x:c r="J465" s="16" t="n">
        <x:v>1</x:v>
      </x:c>
      <x:c r="K465" s="15" t="n">
        <x:f>I465*J465</x:f>
        <x:v>1000</x:v>
      </x:c>
      <x:c r="L465" s="20" t="str">
        <x:v>Nuclear Power Corporation of India</x:v>
      </x:c>
      <x:c r="M465" s="20" t="str">
        <x:v>District carried from original workbook</x:v>
      </x:c>
      <x:c r="N465" s="20" t="str"/>
      <x:c r="O465" s="20" t="str">
        <x:v>Existing</x:v>
      </x:c>
      <x:c r="P465" s="20" t="str">
        <x:v>No online correction applied because a single district was already provided.</x:v>
      </x:c>
    </x:row>
    <x:row r="466">
      <x:c r="A466" s="14" t="n">
        <x:v>280</x:v>
      </x:c>
      <x:c r="B466" s="14" t="str">
        <x:v>Nuclear</x:v>
      </x:c>
      <x:c r="C466" s="14" t="str">
        <x:v>pipeline</x:v>
      </x:c>
      <x:c r="D466" s="20" t="str">
        <x:v>Kudankulam Atomic Power Project</x:v>
      </x:c>
      <x:c r="E466" s="14" t="str">
        <x:v>Tamil Nadu</x:v>
      </x:c>
      <x:c r="F466" s="14" t="str">
        <x:v>Tirunelveli</x:v>
      </x:c>
      <x:c r="G466" s="14" t="str">
        <x:v>Tirunelveli</x:v>
      </x:c>
      <x:c r="H466" s="14" t="str">
        <x:v>2027-06-18</x:v>
      </x:c>
      <x:c r="I466" s="15" t="n">
        <x:v>1000</x:v>
      </x:c>
      <x:c r="J466" s="16" t="n">
        <x:v>1</x:v>
      </x:c>
      <x:c r="K466" s="15" t="n">
        <x:f>I466*J466</x:f>
        <x:v>1000</x:v>
      </x:c>
      <x:c r="L466" s="20" t="str">
        <x:v>Nuclear Power Corporation of India</x:v>
      </x:c>
      <x:c r="M466" s="20" t="str">
        <x:v>District carried from original workbook</x:v>
      </x:c>
      <x:c r="N466" s="20" t="str"/>
      <x:c r="O466" s="20" t="str">
        <x:v>Existing</x:v>
      </x:c>
      <x:c r="P466" s="20" t="str">
        <x:v>No online correction applied because a single district was already provided.</x:v>
      </x:c>
    </x:row>
    <x:row r="467">
      <x:c r="A467" s="14" t="n">
        <x:v>281</x:v>
      </x:c>
      <x:c r="B467" s="14" t="str">
        <x:v>Nuclear</x:v>
      </x:c>
      <x:c r="C467" s="14" t="str">
        <x:v>pipeline</x:v>
      </x:c>
      <x:c r="D467" s="20" t="str">
        <x:v>Kudankulam Atomic Power Project</x:v>
      </x:c>
      <x:c r="E467" s="14" t="str">
        <x:v>Tamil Nadu</x:v>
      </x:c>
      <x:c r="F467" s="14" t="str">
        <x:v>Tirunelveli</x:v>
      </x:c>
      <x:c r="G467" s="14" t="str">
        <x:v>Tirunelveli</x:v>
      </x:c>
      <x:c r="H467" s="14" t="str">
        <x:v>2027-06-18</x:v>
      </x:c>
      <x:c r="I467" s="15" t="n">
        <x:v>1000</x:v>
      </x:c>
      <x:c r="J467" s="16" t="n">
        <x:v>1</x:v>
      </x:c>
      <x:c r="K467" s="15" t="n">
        <x:f>I467*J467</x:f>
        <x:v>1000</x:v>
      </x:c>
      <x:c r="L467" s="20" t="str">
        <x:v>Nuclear Power Corporation of India</x:v>
      </x:c>
      <x:c r="M467" s="20" t="str">
        <x:v>District carried from original workbook</x:v>
      </x:c>
      <x:c r="N467" s="20" t="str"/>
      <x:c r="O467" s="20" t="str">
        <x:v>Existing</x:v>
      </x:c>
      <x:c r="P467" s="20" t="str">
        <x:v>No online correction applied because a single district was already provided.</x:v>
      </x:c>
    </x:row>
    <x:row r="468">
      <x:c r="A468" s="14" t="n">
        <x:v>282</x:v>
      </x:c>
      <x:c r="B468" s="14" t="str">
        <x:v>Nuclear</x:v>
      </x:c>
      <x:c r="C468" s="14" t="str">
        <x:v>operational</x:v>
      </x:c>
      <x:c r="D468" s="20" t="str">
        <x:v>Madras Atomic Power Station</x:v>
      </x:c>
      <x:c r="E468" s="14" t="str">
        <x:v>Tamil Nadu</x:v>
      </x:c>
      <x:c r="F468" s="14" t="str">
        <x:v>Kancheepuram</x:v>
      </x:c>
      <x:c r="G468" s="14" t="str">
        <x:v>Kanchipuram</x:v>
      </x:c>
      <x:c r="H468" s="14" t="str">
        <x:v>1984-01-27</x:v>
      </x:c>
      <x:c r="I468" s="15" t="n">
        <x:v>220</x:v>
      </x:c>
      <x:c r="J468" s="16" t="n">
        <x:v>1</x:v>
      </x:c>
      <x:c r="K468" s="15" t="n">
        <x:f>I468*J468</x:f>
        <x:v>220</x:v>
      </x:c>
      <x:c r="L468" s="20" t="str">
        <x:v>Nuclear Power Corporation of India</x:v>
      </x:c>
      <x:c r="M468" s="20" t="str">
        <x:v>District carried from original workbook</x:v>
      </x:c>
      <x:c r="N468" s="20" t="str"/>
      <x:c r="O468" s="20" t="str">
        <x:v>Existing</x:v>
      </x:c>
      <x:c r="P468" s="20" t="str">
        <x:v>No online correction applied because a single district was already provided.</x:v>
      </x:c>
    </x:row>
    <x:row r="469">
      <x:c r="A469" s="14" t="n">
        <x:v>283</x:v>
      </x:c>
      <x:c r="B469" s="14" t="str">
        <x:v>Nuclear</x:v>
      </x:c>
      <x:c r="C469" s="14" t="str">
        <x:v>operational</x:v>
      </x:c>
      <x:c r="D469" s="20" t="str">
        <x:v>Madras Atomic Power Station</x:v>
      </x:c>
      <x:c r="E469" s="14" t="str">
        <x:v>Tamil Nadu</x:v>
      </x:c>
      <x:c r="F469" s="14" t="str">
        <x:v>Kancheepuram</x:v>
      </x:c>
      <x:c r="G469" s="14" t="str">
        <x:v>Kanchipuram</x:v>
      </x:c>
      <x:c r="H469" s="14" t="str">
        <x:v>1986-03-21</x:v>
      </x:c>
      <x:c r="I469" s="15" t="n">
        <x:v>220</x:v>
      </x:c>
      <x:c r="J469" s="16" t="n">
        <x:v>1</x:v>
      </x:c>
      <x:c r="K469" s="15" t="n">
        <x:f>I469*J469</x:f>
        <x:v>220</x:v>
      </x:c>
      <x:c r="L469" s="20" t="str">
        <x:v>Nuclear Power Corporation of India</x:v>
      </x:c>
      <x:c r="M469" s="20" t="str">
        <x:v>District carried from original workbook</x:v>
      </x:c>
      <x:c r="N469" s="20" t="str"/>
      <x:c r="O469" s="20" t="str">
        <x:v>Existing</x:v>
      </x:c>
      <x:c r="P469" s="20" t="str">
        <x:v>No online correction applied because a single district was already provided.</x:v>
      </x:c>
    </x:row>
    <x:row r="470">
      <x:c r="A470" s="14" t="n">
        <x:v>284</x:v>
      </x:c>
      <x:c r="B470" s="14" t="str">
        <x:v>Small-Hydro</x:v>
      </x:c>
      <x:c r="C470" s="14" t="str">
        <x:v>operational</x:v>
      </x:c>
      <x:c r="D470" s="20" t="str">
        <x:v>Aliyar Mini Hydel Project</x:v>
      </x:c>
      <x:c r="E470" s="14" t="str">
        <x:v>Tamil Nadu</x:v>
      </x:c>
      <x:c r="F470" s="14" t="str">
        <x:v>Coimbatore</x:v>
      </x:c>
      <x:c r="G470" s="14" t="str">
        <x:v>Coimbatore</x:v>
      </x:c>
      <x:c r="H470" s="14" t="str">
        <x:v>2002-09-23</x:v>
      </x:c>
      <x:c r="I470" s="15" t="n">
        <x:v>1.25</x:v>
      </x:c>
      <x:c r="J470" s="16" t="n">
        <x:v>1</x:v>
      </x:c>
      <x:c r="K470" s="15" t="n">
        <x:f>I470*J470</x:f>
        <x:v>1.25</x:v>
      </x:c>
      <x:c r="L470" s="20" t="str">
        <x:v>Tamil Nadu Generation and Distribution Corp. Ltd. (TANGEDCO)</x:v>
      </x:c>
      <x:c r="M470" s="20" t="str">
        <x:v>District carried from original workbook</x:v>
      </x:c>
      <x:c r="N470" s="20" t="str"/>
      <x:c r="O470" s="20" t="str">
        <x:v>Existing</x:v>
      </x:c>
      <x:c r="P470" s="20" t="str">
        <x:v>No online correction applied because a single district was already provided.</x:v>
      </x:c>
    </x:row>
    <x:row r="471">
      <x:c r="A471" s="14" t="n">
        <x:v>285</x:v>
      </x:c>
      <x:c r="B471" s="14" t="str">
        <x:v>Small-Hydro</x:v>
      </x:c>
      <x:c r="C471" s="14" t="str">
        <x:v>operational</x:v>
      </x:c>
      <x:c r="D471" s="20" t="str">
        <x:v>Aliyar Mini Hydel Project</x:v>
      </x:c>
      <x:c r="E471" s="14" t="str">
        <x:v>Tamil Nadu</x:v>
      </x:c>
      <x:c r="F471" s="14" t="str">
        <x:v>Coimbatore</x:v>
      </x:c>
      <x:c r="G471" s="14" t="str">
        <x:v>Coimbatore</x:v>
      </x:c>
      <x:c r="H471" s="14" t="str">
        <x:v>2002-09-23</x:v>
      </x:c>
      <x:c r="I471" s="15" t="n">
        <x:v>1.25</x:v>
      </x:c>
      <x:c r="J471" s="16" t="n">
        <x:v>1</x:v>
      </x:c>
      <x:c r="K471" s="15" t="n">
        <x:f>I471*J471</x:f>
        <x:v>1.25</x:v>
      </x:c>
      <x:c r="L471" s="20" t="str">
        <x:v>Tamil Nadu Generation and Distribution Corp. Ltd. (TANGEDCO)</x:v>
      </x:c>
      <x:c r="M471" s="20" t="str">
        <x:v>District carried from original workbook</x:v>
      </x:c>
      <x:c r="N471" s="20" t="str"/>
      <x:c r="O471" s="20" t="str">
        <x:v>Existing</x:v>
      </x:c>
      <x:c r="P471" s="20" t="str">
        <x:v>No online correction applied because a single district was already provided.</x:v>
      </x:c>
    </x:row>
    <x:row r="472">
      <x:c r="A472" s="14" t="n">
        <x:v>286</x:v>
      </x:c>
      <x:c r="B472" s="14" t="str">
        <x:v>Small-Hydro</x:v>
      </x:c>
      <x:c r="C472" s="14" t="str">
        <x:v>operational</x:v>
      </x:c>
      <x:c r="D472" s="20" t="str">
        <x:v>Amaravathi Small Hydro Project</x:v>
      </x:c>
      <x:c r="E472" s="14" t="str">
        <x:v>Tamil Nadu</x:v>
      </x:c>
      <x:c r="F472" s="14" t="str">
        <x:v>Coimbatore</x:v>
      </x:c>
      <x:c r="G472" s="14" t="str">
        <x:v>Coimbatore</x:v>
      </x:c>
      <x:c r="H472" s="14" t="str">
        <x:v>2006-09-21</x:v>
      </x:c>
      <x:c r="I472" s="15" t="n">
        <x:v>2</x:v>
      </x:c>
      <x:c r="J472" s="16" t="n">
        <x:v>1</x:v>
      </x:c>
      <x:c r="K472" s="15" t="n">
        <x:f>I472*J472</x:f>
        <x:v>2</x:v>
      </x:c>
      <x:c r="L472" s="20" t="str">
        <x:v>Tamil Nadu Generation and Distribution Corp. Ltd. (TANGEDCO)</x:v>
      </x:c>
      <x:c r="M472" s="20" t="str">
        <x:v>District carried from original workbook</x:v>
      </x:c>
      <x:c r="N472" s="20" t="str"/>
      <x:c r="O472" s="20" t="str">
        <x:v>Existing</x:v>
      </x:c>
      <x:c r="P472" s="20" t="str">
        <x:v>No online correction applied because a single district was already provided.</x:v>
      </x:c>
    </x:row>
    <x:row r="473">
      <x:c r="A473" s="14" t="n">
        <x:v>287</x:v>
      </x:c>
      <x:c r="B473" s="14" t="str">
        <x:v>Small-Hydro</x:v>
      </x:c>
      <x:c r="C473" s="14" t="str">
        <x:v>operational</x:v>
      </x:c>
      <x:c r="D473" s="20" t="str">
        <x:v>Amaravathi Small Hydro Project</x:v>
      </x:c>
      <x:c r="E473" s="14" t="str">
        <x:v>Tamil Nadu</x:v>
      </x:c>
      <x:c r="F473" s="14" t="str">
        <x:v>Coimbatore</x:v>
      </x:c>
      <x:c r="G473" s="14" t="str">
        <x:v>Coimbatore</x:v>
      </x:c>
      <x:c r="H473" s="14" t="str">
        <x:v>2006-11-30</x:v>
      </x:c>
      <x:c r="I473" s="15" t="n">
        <x:v>2</x:v>
      </x:c>
      <x:c r="J473" s="16" t="n">
        <x:v>1</x:v>
      </x:c>
      <x:c r="K473" s="15" t="n">
        <x:f>I473*J473</x:f>
        <x:v>2</x:v>
      </x:c>
      <x:c r="L473" s="20" t="str">
        <x:v>Tamil Nadu Generation and Distribution Corp. Ltd. (TANGEDCO)</x:v>
      </x:c>
      <x:c r="M473" s="20" t="str">
        <x:v>District carried from original workbook</x:v>
      </x:c>
      <x:c r="N473" s="20" t="str"/>
      <x:c r="O473" s="20" t="str">
        <x:v>Existing</x:v>
      </x:c>
      <x:c r="P473" s="20" t="str">
        <x:v>No online correction applied because a single district was already provided.</x:v>
      </x:c>
    </x:row>
    <x:row r="474">
      <x:c r="A474" s="14" t="n">
        <x:v>288</x:v>
      </x:c>
      <x:c r="B474" s="14" t="str">
        <x:v>Small-Hydro</x:v>
      </x:c>
      <x:c r="C474" s="14" t="str">
        <x:v>operational</x:v>
      </x:c>
      <x:c r="D474" s="20" t="str">
        <x:v>Bhavani Barrage I Small Hydro Electric Project</x:v>
      </x:c>
      <x:c r="E474" s="14" t="str">
        <x:v>Tamil Nadu</x:v>
      </x:c>
      <x:c r="F474" s="14" t="str">
        <x:v>Coimbatore</x:v>
      </x:c>
      <x:c r="G474" s="14" t="str">
        <x:v>Coimbatore</x:v>
      </x:c>
      <x:c r="H474" s="14" t="str">
        <x:v>2009-07-01</x:v>
      </x:c>
      <x:c r="I474" s="15" t="n">
        <x:v>5</x:v>
      </x:c>
      <x:c r="J474" s="16" t="n">
        <x:v>1</x:v>
      </x:c>
      <x:c r="K474" s="15" t="n">
        <x:f>I474*J474</x:f>
        <x:v>5</x:v>
      </x:c>
      <x:c r="L474" s="20" t="str">
        <x:v>Tamil Nadu Generation and Distribution Corp. Ltd. (TANGEDCO)</x:v>
      </x:c>
      <x:c r="M474" s="20" t="str">
        <x:v>District carried from original workbook</x:v>
      </x:c>
      <x:c r="N474" s="20" t="str"/>
      <x:c r="O474" s="20" t="str">
        <x:v>Existing</x:v>
      </x:c>
      <x:c r="P474" s="20" t="str">
        <x:v>No online correction applied because a single district was already provided.</x:v>
      </x:c>
    </x:row>
    <x:row r="475">
      <x:c r="A475" s="14" t="n">
        <x:v>289</x:v>
      </x:c>
      <x:c r="B475" s="14" t="str">
        <x:v>Small-Hydro</x:v>
      </x:c>
      <x:c r="C475" s="14" t="str">
        <x:v>operational</x:v>
      </x:c>
      <x:c r="D475" s="20" t="str">
        <x:v>Bhavani Barrage I Small Hydro Electric Project</x:v>
      </x:c>
      <x:c r="E475" s="14" t="str">
        <x:v>Tamil Nadu</x:v>
      </x:c>
      <x:c r="F475" s="14" t="str">
        <x:v>Coimbatore</x:v>
      </x:c>
      <x:c r="G475" s="14" t="str">
        <x:v>Coimbatore</x:v>
      </x:c>
      <x:c r="H475" s="14" t="str">
        <x:v>2009-07-01</x:v>
      </x:c>
      <x:c r="I475" s="15" t="n">
        <x:v>5</x:v>
      </x:c>
      <x:c r="J475" s="16" t="n">
        <x:v>1</x:v>
      </x:c>
      <x:c r="K475" s="15" t="n">
        <x:f>I475*J475</x:f>
        <x:v>5</x:v>
      </x:c>
      <x:c r="L475" s="20" t="str">
        <x:v>Tamil Nadu Generation and Distribution Corp. Ltd. (TANGEDCO)</x:v>
      </x:c>
      <x:c r="M475" s="20" t="str">
        <x:v>District carried from original workbook</x:v>
      </x:c>
      <x:c r="N475" s="20" t="str"/>
      <x:c r="O475" s="20" t="str">
        <x:v>Existing</x:v>
      </x:c>
      <x:c r="P475" s="20" t="str">
        <x:v>No online correction applied because a single district was already provided.</x:v>
      </x:c>
    </x:row>
    <x:row r="476">
      <x:c r="A476" s="14" t="n">
        <x:v>290</x:v>
      </x:c>
      <x:c r="B476" s="14" t="str">
        <x:v>Small-Hydro</x:v>
      </x:c>
      <x:c r="C476" s="14" t="str">
        <x:v>operational</x:v>
      </x:c>
      <x:c r="D476" s="20" t="str">
        <x:v>Bhavani Barrage II Small Hydro Electric Project</x:v>
      </x:c>
      <x:c r="E476" s="14" t="str">
        <x:v>Tamil Nadu</x:v>
      </x:c>
      <x:c r="F476" s="14" t="str">
        <x:v>Coimbatore</x:v>
      </x:c>
      <x:c r="G476" s="14" t="str">
        <x:v>Coimbatore</x:v>
      </x:c>
      <x:c r="H476" s="14" t="str">
        <x:v>N.A.</x:v>
      </x:c>
      <x:c r="I476" s="15" t="n">
        <x:v>5</x:v>
      </x:c>
      <x:c r="J476" s="16" t="n">
        <x:v>1</x:v>
      </x:c>
      <x:c r="K476" s="15" t="n">
        <x:f>I476*J476</x:f>
        <x:v>5</x:v>
      </x:c>
      <x:c r="L476" s="20" t="str">
        <x:v>Tamil Nadu Generation and Distribution Corp. Ltd. (TANGEDCO)</x:v>
      </x:c>
      <x:c r="M476" s="20" t="str">
        <x:v>District carried from original workbook</x:v>
      </x:c>
      <x:c r="N476" s="20" t="str"/>
      <x:c r="O476" s="20" t="str">
        <x:v>Existing</x:v>
      </x:c>
      <x:c r="P476" s="20" t="str">
        <x:v>No online correction applied because a single district was already provided.</x:v>
      </x:c>
    </x:row>
    <x:row r="477">
      <x:c r="A477" s="14" t="n">
        <x:v>291</x:v>
      </x:c>
      <x:c r="B477" s="14" t="str">
        <x:v>Small-Hydro</x:v>
      </x:c>
      <x:c r="C477" s="14" t="str">
        <x:v>operational</x:v>
      </x:c>
      <x:c r="D477" s="20" t="str">
        <x:v>Bhavani Barrage II Small Hydro Electric Project</x:v>
      </x:c>
      <x:c r="E477" s="14" t="str">
        <x:v>Tamil Nadu</x:v>
      </x:c>
      <x:c r="F477" s="14" t="str">
        <x:v>Coimbatore</x:v>
      </x:c>
      <x:c r="G477" s="14" t="str">
        <x:v>Coimbatore</x:v>
      </x:c>
      <x:c r="H477" s="14" t="str">
        <x:v>N.A.</x:v>
      </x:c>
      <x:c r="I477" s="15" t="n">
        <x:v>5</x:v>
      </x:c>
      <x:c r="J477" s="16" t="n">
        <x:v>1</x:v>
      </x:c>
      <x:c r="K477" s="15" t="n">
        <x:f>I477*J477</x:f>
        <x:v>5</x:v>
      </x:c>
      <x:c r="L477" s="20" t="str">
        <x:v>Tamil Nadu Generation and Distribution Corp. Ltd. (TANGEDCO)</x:v>
      </x:c>
      <x:c r="M477" s="20" t="str">
        <x:v>District carried from original workbook</x:v>
      </x:c>
      <x:c r="N477" s="20" t="str"/>
      <x:c r="O477" s="20" t="str">
        <x:v>Existing</x:v>
      </x:c>
      <x:c r="P477" s="20" t="str">
        <x:v>No online correction applied because a single district was already provided.</x:v>
      </x:c>
    </x:row>
    <x:row r="478">
      <x:c r="A478" s="14" t="n">
        <x:v>292</x:v>
      </x:c>
      <x:c r="B478" s="14" t="str">
        <x:v>Small-Hydro</x:v>
      </x:c>
      <x:c r="C478" s="14" t="str">
        <x:v>operational</x:v>
      </x:c>
      <x:c r="D478" s="20" t="str">
        <x:v>Lower Bhavani Micro Hydel Project</x:v>
      </x:c>
      <x:c r="E478" s="14" t="str">
        <x:v>Tamil Nadu</x:v>
      </x:c>
      <x:c r="F478" s="14" t="str">
        <x:v>Erode</x:v>
      </x:c>
      <x:c r="G478" s="14" t="str">
        <x:v>Erode</x:v>
      </x:c>
      <x:c r="H478" s="14" t="str">
        <x:v>1990-05-26</x:v>
      </x:c>
      <x:c r="I478" s="15" t="n">
        <x:v>2</x:v>
      </x:c>
      <x:c r="J478" s="16" t="n">
        <x:v>1</x:v>
      </x:c>
      <x:c r="K478" s="15" t="n">
        <x:f>I478*J478</x:f>
        <x:v>2</x:v>
      </x:c>
      <x:c r="L478" s="20" t="str">
        <x:v>Tamil Nadu Generation and Distribution Corp. Ltd. (TANGEDCO)</x:v>
      </x:c>
      <x:c r="M478" s="20" t="str">
        <x:v>District carried from original workbook</x:v>
      </x:c>
      <x:c r="N478" s="20" t="str"/>
      <x:c r="O478" s="20" t="str">
        <x:v>Existing</x:v>
      </x:c>
      <x:c r="P478" s="20" t="str">
        <x:v>No online correction applied because a single district was already provided.</x:v>
      </x:c>
    </x:row>
    <x:row r="479">
      <x:c r="A479" s="14" t="n">
        <x:v>293</x:v>
      </x:c>
      <x:c r="B479" s="14" t="str">
        <x:v>Small-Hydro</x:v>
      </x:c>
      <x:c r="C479" s="14" t="str">
        <x:v>operational</x:v>
      </x:c>
      <x:c r="D479" s="20" t="str">
        <x:v>Lower Bhavani Micro Hydel Project</x:v>
      </x:c>
      <x:c r="E479" s="14" t="str">
        <x:v>Tamil Nadu</x:v>
      </x:c>
      <x:c r="F479" s="14" t="str">
        <x:v>Erode</x:v>
      </x:c>
      <x:c r="G479" s="14" t="str">
        <x:v>Erode</x:v>
      </x:c>
      <x:c r="H479" s="14" t="str">
        <x:v>1990-04-17</x:v>
      </x:c>
      <x:c r="I479" s="15" t="n">
        <x:v>2</x:v>
      </x:c>
      <x:c r="J479" s="16" t="n">
        <x:v>1</x:v>
      </x:c>
      <x:c r="K479" s="15" t="n">
        <x:f>I479*J479</x:f>
        <x:v>2</x:v>
      </x:c>
      <x:c r="L479" s="20" t="str">
        <x:v>Tamil Nadu Generation and Distribution Corp. Ltd. (TANGEDCO)</x:v>
      </x:c>
      <x:c r="M479" s="20" t="str">
        <x:v>District carried from original workbook</x:v>
      </x:c>
      <x:c r="N479" s="20" t="str"/>
      <x:c r="O479" s="20" t="str">
        <x:v>Existing</x:v>
      </x:c>
      <x:c r="P479" s="20" t="str">
        <x:v>No online correction applied because a single district was already provided.</x:v>
      </x:c>
    </x:row>
    <x:row r="480">
      <x:c r="A480" s="14" t="n">
        <x:v>294</x:v>
      </x:c>
      <x:c r="B480" s="14" t="str">
        <x:v>Small-Hydro</x:v>
      </x:c>
      <x:c r="C480" s="14" t="str">
        <x:v>operational</x:v>
      </x:c>
      <x:c r="D480" s="20" t="str">
        <x:v>Lower Bhavani Micro Hydel Project</x:v>
      </x:c>
      <x:c r="E480" s="14" t="str">
        <x:v>Tamil Nadu</x:v>
      </x:c>
      <x:c r="F480" s="14" t="str">
        <x:v>Erode</x:v>
      </x:c>
      <x:c r="G480" s="14" t="str">
        <x:v>Erode</x:v>
      </x:c>
      <x:c r="H480" s="14" t="str">
        <x:v>1990-04-11</x:v>
      </x:c>
      <x:c r="I480" s="15" t="n">
        <x:v>2</x:v>
      </x:c>
      <x:c r="J480" s="16" t="n">
        <x:v>1</x:v>
      </x:c>
      <x:c r="K480" s="15" t="n">
        <x:f>I480*J480</x:f>
        <x:v>2</x:v>
      </x:c>
      <x:c r="L480" s="20" t="str">
        <x:v>Tamil Nadu Generation and Distribution Corp. Ltd. (TANGEDCO)</x:v>
      </x:c>
      <x:c r="M480" s="20" t="str">
        <x:v>District carried from original workbook</x:v>
      </x:c>
      <x:c r="N480" s="20" t="str"/>
      <x:c r="O480" s="20" t="str">
        <x:v>Existing</x:v>
      </x:c>
      <x:c r="P480" s="20" t="str">
        <x:v>No online correction applied because a single district was already provided.</x:v>
      </x:c>
    </x:row>
    <x:row r="481">
      <x:c r="A481" s="14" t="n">
        <x:v>295</x:v>
      </x:c>
      <x:c r="B481" s="14" t="str">
        <x:v>Small-Hydro</x:v>
      </x:c>
      <x:c r="C481" s="14" t="str">
        <x:v>operational</x:v>
      </x:c>
      <x:c r="D481" s="20" t="str">
        <x:v>Lower Bhavani Micro Hydel Project</x:v>
      </x:c>
      <x:c r="E481" s="14" t="str">
        <x:v>Tamil Nadu</x:v>
      </x:c>
      <x:c r="F481" s="14" t="str">
        <x:v>Erode</x:v>
      </x:c>
      <x:c r="G481" s="14" t="str">
        <x:v>Erode</x:v>
      </x:c>
      <x:c r="H481" s="14" t="str">
        <x:v>1990-04-03</x:v>
      </x:c>
      <x:c r="I481" s="15" t="n">
        <x:v>2</x:v>
      </x:c>
      <x:c r="J481" s="16" t="n">
        <x:v>1</x:v>
      </x:c>
      <x:c r="K481" s="15" t="n">
        <x:f>I481*J481</x:f>
        <x:v>2</x:v>
      </x:c>
      <x:c r="L481" s="20" t="str">
        <x:v>Tamil Nadu Generation and Distribution Corp. Ltd. (TANGEDCO)</x:v>
      </x:c>
      <x:c r="M481" s="20" t="str">
        <x:v>District carried from original workbook</x:v>
      </x:c>
      <x:c r="N481" s="20" t="str"/>
      <x:c r="O481" s="20" t="str">
        <x:v>Existing</x:v>
      </x:c>
      <x:c r="P481" s="20" t="str">
        <x:v>No online correction applied because a single district was already provided.</x:v>
      </x:c>
    </x:row>
    <x:row r="482">
      <x:c r="A482" s="14" t="n">
        <x:v>296</x:v>
      </x:c>
      <x:c r="B482" s="14" t="str">
        <x:v>Small-Hydro</x:v>
      </x:c>
      <x:c r="C482" s="14" t="str">
        <x:v>operational</x:v>
      </x:c>
      <x:c r="D482" s="20" t="str">
        <x:v>Lower Bhavani Right Bank Canal Project</x:v>
      </x:c>
      <x:c r="E482" s="14" t="str">
        <x:v>Tamil Nadu</x:v>
      </x:c>
      <x:c r="F482" s="14" t="str">
        <x:v>Erode</x:v>
      </x:c>
      <x:c r="G482" s="14" t="str">
        <x:v>Erode</x:v>
      </x:c>
      <x:c r="H482" s="14" t="str">
        <x:v>1998-02-10</x:v>
      </x:c>
      <x:c r="I482" s="15" t="n">
        <x:v>4</x:v>
      </x:c>
      <x:c r="J482" s="16" t="n">
        <x:v>1</x:v>
      </x:c>
      <x:c r="K482" s="15" t="n">
        <x:f>I482*J482</x:f>
        <x:v>4</x:v>
      </x:c>
      <x:c r="L482" s="20" t="str">
        <x:v>Tamil Nadu Generation and Distribution Corp. Ltd. (TANGEDCO)</x:v>
      </x:c>
      <x:c r="M482" s="20" t="str">
        <x:v>District carried from original workbook</x:v>
      </x:c>
      <x:c r="N482" s="20" t="str"/>
      <x:c r="O482" s="20" t="str">
        <x:v>Existing</x:v>
      </x:c>
      <x:c r="P482" s="20" t="str">
        <x:v>No online correction applied because a single district was already provided.</x:v>
      </x:c>
    </x:row>
    <x:row r="483">
      <x:c r="A483" s="14" t="n">
        <x:v>297</x:v>
      </x:c>
      <x:c r="B483" s="14" t="str">
        <x:v>Small-Hydro</x:v>
      </x:c>
      <x:c r="C483" s="14" t="str">
        <x:v>operational</x:v>
      </x:c>
      <x:c r="D483" s="20" t="str">
        <x:v>Lower Bhavani Right Bank Canal Project</x:v>
      </x:c>
      <x:c r="E483" s="14" t="str">
        <x:v>Tamil Nadu</x:v>
      </x:c>
      <x:c r="F483" s="14" t="str">
        <x:v>Erode</x:v>
      </x:c>
      <x:c r="G483" s="14" t="str">
        <x:v>Erode</x:v>
      </x:c>
      <x:c r="H483" s="14" t="str">
        <x:v>1998-02-28</x:v>
      </x:c>
      <x:c r="I483" s="15" t="n">
        <x:v>4</x:v>
      </x:c>
      <x:c r="J483" s="16" t="n">
        <x:v>1</x:v>
      </x:c>
      <x:c r="K483" s="15" t="n">
        <x:f>I483*J483</x:f>
        <x:v>4</x:v>
      </x:c>
      <x:c r="L483" s="20" t="str">
        <x:v>Tamil Nadu Generation and Distribution Corp. Ltd. (TANGEDCO)</x:v>
      </x:c>
      <x:c r="M483" s="20" t="str">
        <x:v>District carried from original workbook</x:v>
      </x:c>
      <x:c r="N483" s="20" t="str"/>
      <x:c r="O483" s="20" t="str">
        <x:v>Existing</x:v>
      </x:c>
      <x:c r="P483" s="20" t="str">
        <x:v>No online correction applied because a single district was already provided.</x:v>
      </x:c>
    </x:row>
    <x:row r="484">
      <x:c r="A484" s="14" t="n">
        <x:v>298</x:v>
      </x:c>
      <x:c r="B484" s="14" t="str">
        <x:v>Small-Hydro</x:v>
      </x:c>
      <x:c r="C484" s="14" t="str">
        <x:v>operational</x:v>
      </x:c>
      <x:c r="D484" s="20" t="str">
        <x:v>Maravakandy Small Hydro Project</x:v>
      </x:c>
      <x:c r="E484" s="14" t="str">
        <x:v>Tamil Nadu</x:v>
      </x:c>
      <x:c r="F484" s="14" t="str">
        <x:v>Nilgiris</x:v>
      </x:c>
      <x:c r="G484" s="14" t="str">
        <x:v>Nilgiris</x:v>
      </x:c>
      <x:c r="H484" s="14" t="str">
        <x:v>1992-10-14</x:v>
      </x:c>
      <x:c r="I484" s="15" t="n">
        <x:v>0.75</x:v>
      </x:c>
      <x:c r="J484" s="16" t="n">
        <x:v>1</x:v>
      </x:c>
      <x:c r="K484" s="15" t="n">
        <x:f>I484*J484</x:f>
        <x:v>0.75</x:v>
      </x:c>
      <x:c r="L484" s="20" t="str">
        <x:v>Tamil Nadu Generation and Distribution Corp. Ltd. (TANGEDCO)</x:v>
      </x:c>
      <x:c r="M484" s="20" t="str">
        <x:v>District carried from original workbook</x:v>
      </x:c>
      <x:c r="N484" s="20" t="str"/>
      <x:c r="O484" s="20" t="str">
        <x:v>Existing</x:v>
      </x:c>
      <x:c r="P484" s="20" t="str">
        <x:v>No online correction applied because a single district was already provided.</x:v>
      </x:c>
    </x:row>
    <x:row r="485">
      <x:c r="A485" s="14" t="n">
        <x:v>299</x:v>
      </x:c>
      <x:c r="B485" s="14" t="str">
        <x:v>Small-Hydro</x:v>
      </x:c>
      <x:c r="C485" s="14" t="str">
        <x:v>operational</x:v>
      </x:c>
      <x:c r="D485" s="20" t="str">
        <x:v>Mukurthy Small Hydro Project</x:v>
      </x:c>
      <x:c r="E485" s="14" t="str">
        <x:v>Tamil Nadu</x:v>
      </x:c>
      <x:c r="F485" s="14" t="str">
        <x:v>Nilgiris</x:v>
      </x:c>
      <x:c r="G485" s="14" t="str">
        <x:v>Nilgiris</x:v>
      </x:c>
      <x:c r="H485" s="14" t="str">
        <x:v>2001-06-27</x:v>
      </x:c>
      <x:c r="I485" s="15" t="n">
        <x:v>0.35</x:v>
      </x:c>
      <x:c r="J485" s="16" t="n">
        <x:v>1</x:v>
      </x:c>
      <x:c r="K485" s="15" t="n">
        <x:f>I485*J485</x:f>
        <x:v>0.35</x:v>
      </x:c>
      <x:c r="L485" s="20" t="str">
        <x:v>Tamil Nadu Generation and Distribution Corp. Ltd. (TANGEDCO)</x:v>
      </x:c>
      <x:c r="M485" s="20" t="str">
        <x:v>District carried from original workbook</x:v>
      </x:c>
      <x:c r="N485" s="20" t="str"/>
      <x:c r="O485" s="20" t="str">
        <x:v>Existing</x:v>
      </x:c>
      <x:c r="P485" s="20" t="str">
        <x:v>No online correction applied because a single district was already provided.</x:v>
      </x:c>
    </x:row>
    <x:row r="486">
      <x:c r="A486" s="14" t="n">
        <x:v>300</x:v>
      </x:c>
      <x:c r="B486" s="14" t="str">
        <x:v>Small-Hydro</x:v>
      </x:c>
      <x:c r="C486" s="14" t="str">
        <x:v>operational</x:v>
      </x:c>
      <x:c r="D486" s="20" t="str">
        <x:v>Mukurthy Small Hydro Project</x:v>
      </x:c>
      <x:c r="E486" s="14" t="str">
        <x:v>Tamil Nadu</x:v>
      </x:c>
      <x:c r="F486" s="14" t="str">
        <x:v>Nilgiris</x:v>
      </x:c>
      <x:c r="G486" s="14" t="str">
        <x:v>Nilgiris</x:v>
      </x:c>
      <x:c r="H486" s="14" t="str">
        <x:v>2003-01-01</x:v>
      </x:c>
      <x:c r="I486" s="15" t="n">
        <x:v>0.35</x:v>
      </x:c>
      <x:c r="J486" s="16" t="n">
        <x:v>1</x:v>
      </x:c>
      <x:c r="K486" s="15" t="n">
        <x:f>I486*J486</x:f>
        <x:v>0.35</x:v>
      </x:c>
      <x:c r="L486" s="20" t="str">
        <x:v>Tamil Nadu Generation and Distribution Corp. Ltd. (TANGEDCO)</x:v>
      </x:c>
      <x:c r="M486" s="20" t="str">
        <x:v>District carried from original workbook</x:v>
      </x:c>
      <x:c r="N486" s="20" t="str"/>
      <x:c r="O486" s="20" t="str">
        <x:v>Existing</x:v>
      </x:c>
      <x:c r="P486" s="20" t="str">
        <x:v>No online correction applied because a single district was already provided.</x:v>
      </x:c>
    </x:row>
    <x:row r="487">
      <x:c r="A487" s="14" t="n">
        <x:v>301</x:v>
      </x:c>
      <x:c r="B487" s="14" t="str">
        <x:v>Small-Hydro</x:v>
      </x:c>
      <x:c r="C487" s="14" t="str">
        <x:v>operational</x:v>
      </x:c>
      <x:c r="D487" s="20" t="str">
        <x:v>Periyar Vaigai Mini I Hydro Project</x:v>
      </x:c>
      <x:c r="E487" s="14" t="str">
        <x:v>Tamil Nadu</x:v>
      </x:c>
      <x:c r="F487" s="14" t="str">
        <x:v>Kanniyakumari</x:v>
      </x:c>
      <x:c r="G487" s="14" t="str">
        <x:v>Kanyakumari</x:v>
      </x:c>
      <x:c r="H487" s="14" t="str">
        <x:v>2010-10-02</x:v>
      </x:c>
      <x:c r="I487" s="15" t="n">
        <x:v>2</x:v>
      </x:c>
      <x:c r="J487" s="16" t="n">
        <x:v>1</x:v>
      </x:c>
      <x:c r="K487" s="15" t="n">
        <x:f>I487*J487</x:f>
        <x:v>2</x:v>
      </x:c>
      <x:c r="L487" s="20" t="str">
        <x:v>Tamil Nadu Generation and Distribution Corp. Ltd. (TANGEDCO)</x:v>
      </x:c>
      <x:c r="M487" s="20" t="str">
        <x:v>District carried from original workbook</x:v>
      </x:c>
      <x:c r="N487" s="20" t="str"/>
      <x:c r="O487" s="20" t="str">
        <x:v>Existing</x:v>
      </x:c>
      <x:c r="P487" s="20" t="str">
        <x:v>No online correction applied because a single district was already provided.</x:v>
      </x:c>
    </x:row>
    <x:row r="488">
      <x:c r="A488" s="14" t="n">
        <x:v>302</x:v>
      </x:c>
      <x:c r="B488" s="14" t="str">
        <x:v>Small-Hydro</x:v>
      </x:c>
      <x:c r="C488" s="14" t="str">
        <x:v>operational</x:v>
      </x:c>
      <x:c r="D488" s="20" t="str">
        <x:v>Periyar Vaigai Mini I Hydro Project</x:v>
      </x:c>
      <x:c r="E488" s="14" t="str">
        <x:v>Tamil Nadu</x:v>
      </x:c>
      <x:c r="F488" s="14" t="str">
        <x:v>Kanniyakumari</x:v>
      </x:c>
      <x:c r="G488" s="14" t="str">
        <x:v>Kanyakumari</x:v>
      </x:c>
      <x:c r="H488" s="14" t="str">
        <x:v>2011-01-21</x:v>
      </x:c>
      <x:c r="I488" s="15" t="n">
        <x:v>2</x:v>
      </x:c>
      <x:c r="J488" s="16" t="n">
        <x:v>1</x:v>
      </x:c>
      <x:c r="K488" s="15" t="n">
        <x:f>I488*J488</x:f>
        <x:v>2</x:v>
      </x:c>
      <x:c r="L488" s="20" t="str">
        <x:v>Tamil Nadu Generation and Distribution Corp. Ltd. (TANGEDCO)</x:v>
      </x:c>
      <x:c r="M488" s="20" t="str">
        <x:v>District carried from original workbook</x:v>
      </x:c>
      <x:c r="N488" s="20" t="str"/>
      <x:c r="O488" s="20" t="str">
        <x:v>Existing</x:v>
      </x:c>
      <x:c r="P488" s="20" t="str">
        <x:v>No online correction applied because a single district was already provided.</x:v>
      </x:c>
    </x:row>
    <x:row r="489">
      <x:c r="A489" s="14" t="n">
        <x:v>303</x:v>
      </x:c>
      <x:c r="B489" s="14" t="str">
        <x:v>Small-Hydro</x:v>
      </x:c>
      <x:c r="C489" s="14" t="str">
        <x:v>operational</x:v>
      </x:c>
      <x:c r="D489" s="20" t="str">
        <x:v>Periyar Vaigai Mini II Hydro Project</x:v>
      </x:c>
      <x:c r="E489" s="14" t="str">
        <x:v>Tamil Nadu</x:v>
      </x:c>
      <x:c r="F489" s="14" t="str">
        <x:v>Kanniyakumari</x:v>
      </x:c>
      <x:c r="G489" s="14" t="str">
        <x:v>Kanyakumari</x:v>
      </x:c>
      <x:c r="H489" s="14" t="str">
        <x:v>2011-01-21</x:v>
      </x:c>
      <x:c r="I489" s="15" t="n">
        <x:v>1.25</x:v>
      </x:c>
      <x:c r="J489" s="16" t="n">
        <x:v>1</x:v>
      </x:c>
      <x:c r="K489" s="15" t="n">
        <x:f>I489*J489</x:f>
        <x:v>1.25</x:v>
      </x:c>
      <x:c r="L489" s="20" t="str">
        <x:v>Tamil Nadu Generation and Distribution Corp. Ltd. (TANGEDCO)</x:v>
      </x:c>
      <x:c r="M489" s="20" t="str">
        <x:v>District carried from original workbook</x:v>
      </x:c>
      <x:c r="N489" s="20" t="str"/>
      <x:c r="O489" s="20" t="str">
        <x:v>Existing</x:v>
      </x:c>
      <x:c r="P489" s="20" t="str">
        <x:v>No online correction applied because a single district was already provided.</x:v>
      </x:c>
    </x:row>
    <x:row r="490">
      <x:c r="A490" s="14" t="n">
        <x:v>304</x:v>
      </x:c>
      <x:c r="B490" s="14" t="str">
        <x:v>Small-Hydro</x:v>
      </x:c>
      <x:c r="C490" s="14" t="str">
        <x:v>operational</x:v>
      </x:c>
      <x:c r="D490" s="20" t="str">
        <x:v>Periyar Vaigai Mini II Hydro Project</x:v>
      </x:c>
      <x:c r="E490" s="14" t="str">
        <x:v>Tamil Nadu</x:v>
      </x:c>
      <x:c r="F490" s="14" t="str">
        <x:v>Kanniyakumari</x:v>
      </x:c>
      <x:c r="G490" s="14" t="str">
        <x:v>Kanyakumari</x:v>
      </x:c>
      <x:c r="H490" s="14" t="str">
        <x:v>2012-01-30</x:v>
      </x:c>
      <x:c r="I490" s="15" t="n">
        <x:v>1.25</x:v>
      </x:c>
      <x:c r="J490" s="16" t="n">
        <x:v>1</x:v>
      </x:c>
      <x:c r="K490" s="15" t="n">
        <x:f>I490*J490</x:f>
        <x:v>1.25</x:v>
      </x:c>
      <x:c r="L490" s="20" t="str">
        <x:v>Tamil Nadu Generation and Distribution Corp. Ltd. (TANGEDCO)</x:v>
      </x:c>
      <x:c r="M490" s="20" t="str">
        <x:v>District carried from original workbook</x:v>
      </x:c>
      <x:c r="N490" s="20" t="str"/>
      <x:c r="O490" s="20" t="str">
        <x:v>Existing</x:v>
      </x:c>
      <x:c r="P490" s="20" t="str">
        <x:v>No online correction applied because a single district was already provided.</x:v>
      </x:c>
    </x:row>
    <x:row r="491">
      <x:c r="A491" s="14" t="n">
        <x:v>305</x:v>
      </x:c>
      <x:c r="B491" s="14" t="str">
        <x:v>Small-Hydro</x:v>
      </x:c>
      <x:c r="C491" s="14" t="str">
        <x:v>operational</x:v>
      </x:c>
      <x:c r="D491" s="20" t="str">
        <x:v>Periyar Vaigai Mini III Hydro Project</x:v>
      </x:c>
      <x:c r="E491" s="14" t="str">
        <x:v>Tamil Nadu</x:v>
      </x:c>
      <x:c r="F491" s="14" t="str">
        <x:v>Kanniyakumari</x:v>
      </x:c>
      <x:c r="G491" s="14" t="str">
        <x:v>Kanyakumari</x:v>
      </x:c>
      <x:c r="H491" s="14" t="str">
        <x:v>N.A.</x:v>
      </x:c>
      <x:c r="I491" s="15" t="n">
        <x:v>2</x:v>
      </x:c>
      <x:c r="J491" s="16" t="n">
        <x:v>1</x:v>
      </x:c>
      <x:c r="K491" s="15" t="n">
        <x:f>I491*J491</x:f>
        <x:v>2</x:v>
      </x:c>
      <x:c r="L491" s="20" t="str">
        <x:v>Tamil Nadu Generation and Distribution Corp. Ltd. (TANGEDCO)</x:v>
      </x:c>
      <x:c r="M491" s="20" t="str">
        <x:v>District carried from original workbook</x:v>
      </x:c>
      <x:c r="N491" s="20" t="str"/>
      <x:c r="O491" s="20" t="str">
        <x:v>Existing</x:v>
      </x:c>
      <x:c r="P491" s="20" t="str">
        <x:v>No online correction applied because a single district was already provided.</x:v>
      </x:c>
    </x:row>
    <x:row r="492">
      <x:c r="A492" s="14" t="n">
        <x:v>306</x:v>
      </x:c>
      <x:c r="B492" s="14" t="str">
        <x:v>Small-Hydro</x:v>
      </x:c>
      <x:c r="C492" s="14" t="str">
        <x:v>operational</x:v>
      </x:c>
      <x:c r="D492" s="20" t="str">
        <x:v>Periyar Vaigai Mini III Hydro Project</x:v>
      </x:c>
      <x:c r="E492" s="14" t="str">
        <x:v>Tamil Nadu</x:v>
      </x:c>
      <x:c r="F492" s="14" t="str">
        <x:v>Kanniyakumari</x:v>
      </x:c>
      <x:c r="G492" s="14" t="str">
        <x:v>Kanyakumari</x:v>
      </x:c>
      <x:c r="H492" s="14" t="str">
        <x:v>N.A.</x:v>
      </x:c>
      <x:c r="I492" s="15" t="n">
        <x:v>2</x:v>
      </x:c>
      <x:c r="J492" s="16" t="n">
        <x:v>1</x:v>
      </x:c>
      <x:c r="K492" s="15" t="n">
        <x:f>I492*J492</x:f>
        <x:v>2</x:v>
      </x:c>
      <x:c r="L492" s="20" t="str">
        <x:v>Tamil Nadu Generation and Distribution Corp. Ltd. (TANGEDCO)</x:v>
      </x:c>
      <x:c r="M492" s="20" t="str">
        <x:v>District carried from original workbook</x:v>
      </x:c>
      <x:c r="N492" s="20" t="str"/>
      <x:c r="O492" s="20" t="str">
        <x:v>Existing</x:v>
      </x:c>
      <x:c r="P492" s="20" t="str">
        <x:v>No online correction applied because a single district was already provided.</x:v>
      </x:c>
    </x:row>
    <x:row r="493">
      <x:c r="A493" s="14" t="n">
        <x:v>307</x:v>
      </x:c>
      <x:c r="B493" s="14" t="str">
        <x:v>Small-Hydro</x:v>
      </x:c>
      <x:c r="C493" s="14" t="str">
        <x:v>operational</x:v>
      </x:c>
      <x:c r="D493" s="20" t="str">
        <x:v>Periyar Vaigai Mini IV Hydro Project</x:v>
      </x:c>
      <x:c r="E493" s="14" t="str">
        <x:v>Tamil Nadu</x:v>
      </x:c>
      <x:c r="F493" s="14" t="str">
        <x:v>Kanniyakumari</x:v>
      </x:c>
      <x:c r="G493" s="14" t="str">
        <x:v>Kanyakumari</x:v>
      </x:c>
      <x:c r="H493" s="14" t="str">
        <x:v>N.A.</x:v>
      </x:c>
      <x:c r="I493" s="15" t="n">
        <x:v>1.25</x:v>
      </x:c>
      <x:c r="J493" s="16" t="n">
        <x:v>1</x:v>
      </x:c>
      <x:c r="K493" s="15" t="n">
        <x:f>I493*J493</x:f>
        <x:v>1.25</x:v>
      </x:c>
      <x:c r="L493" s="20" t="str">
        <x:v>Tamil Nadu Generation and Distribution Corp. Ltd. (TANGEDCO)</x:v>
      </x:c>
      <x:c r="M493" s="20" t="str">
        <x:v>District carried from original workbook</x:v>
      </x:c>
      <x:c r="N493" s="20" t="str"/>
      <x:c r="O493" s="20" t="str">
        <x:v>Existing</x:v>
      </x:c>
      <x:c r="P493" s="20" t="str">
        <x:v>No online correction applied because a single district was already provided.</x:v>
      </x:c>
    </x:row>
    <x:row r="494">
      <x:c r="A494" s="14" t="n">
        <x:v>308</x:v>
      </x:c>
      <x:c r="B494" s="14" t="str">
        <x:v>Small-Hydro</x:v>
      </x:c>
      <x:c r="C494" s="14" t="str">
        <x:v>operational</x:v>
      </x:c>
      <x:c r="D494" s="20" t="str">
        <x:v>Periyar Vaigai Mini IV Hydro Project</x:v>
      </x:c>
      <x:c r="E494" s="14" t="str">
        <x:v>Tamil Nadu</x:v>
      </x:c>
      <x:c r="F494" s="14" t="str">
        <x:v>Kanniyakumari</x:v>
      </x:c>
      <x:c r="G494" s="14" t="str">
        <x:v>Kanyakumari</x:v>
      </x:c>
      <x:c r="H494" s="14" t="str">
        <x:v>N.A.</x:v>
      </x:c>
      <x:c r="I494" s="15" t="n">
        <x:v>1.25</x:v>
      </x:c>
      <x:c r="J494" s="16" t="n">
        <x:v>1</x:v>
      </x:c>
      <x:c r="K494" s="15" t="n">
        <x:f>I494*J494</x:f>
        <x:v>1.25</x:v>
      </x:c>
      <x:c r="L494" s="20" t="str">
        <x:v>Tamil Nadu Generation and Distribution Corp. Ltd. (TANGEDCO)</x:v>
      </x:c>
      <x:c r="M494" s="20" t="str">
        <x:v>District carried from original workbook</x:v>
      </x:c>
      <x:c r="N494" s="20" t="str"/>
      <x:c r="O494" s="20" t="str">
        <x:v>Existing</x:v>
      </x:c>
      <x:c r="P494" s="20" t="str">
        <x:v>No online correction applied because a single district was already provided.</x:v>
      </x:c>
    </x:row>
    <x:row r="495">
      <x:c r="A495" s="14" t="n">
        <x:v>309</x:v>
      </x:c>
      <x:c r="B495" s="14" t="str">
        <x:v>Small-Hydro</x:v>
      </x:c>
      <x:c r="C495" s="14" t="str">
        <x:v>operational</x:v>
      </x:c>
      <x:c r="D495" s="20" t="str">
        <x:v>Perunchani Small Hydro Project</x:v>
      </x:c>
      <x:c r="E495" s="14" t="str">
        <x:v>Tamil Nadu</x:v>
      </x:c>
      <x:c r="F495" s="14" t="str">
        <x:v>Kanniyakumari</x:v>
      </x:c>
      <x:c r="G495" s="14" t="str">
        <x:v>Kanyakumari</x:v>
      </x:c>
      <x:c r="H495" s="14" t="str">
        <x:v>2005-12-21</x:v>
      </x:c>
      <x:c r="I495" s="15" t="n">
        <x:v>0.65</x:v>
      </x:c>
      <x:c r="J495" s="16" t="n">
        <x:v>1</x:v>
      </x:c>
      <x:c r="K495" s="15" t="n">
        <x:f>I495*J495</x:f>
        <x:v>0.65</x:v>
      </x:c>
      <x:c r="L495" s="20" t="str">
        <x:v>Tamil Nadu Generation and Distribution Corp. Ltd. (TANGEDCO)</x:v>
      </x:c>
      <x:c r="M495" s="20" t="str">
        <x:v>District carried from original workbook</x:v>
      </x:c>
      <x:c r="N495" s="20" t="str"/>
      <x:c r="O495" s="20" t="str">
        <x:v>Existing</x:v>
      </x:c>
      <x:c r="P495" s="20" t="str">
        <x:v>No online correction applied because a single district was already provided.</x:v>
      </x:c>
    </x:row>
    <x:row r="496">
      <x:c r="A496" s="14" t="n">
        <x:v>310</x:v>
      </x:c>
      <x:c r="B496" s="14" t="str">
        <x:v>Small-Hydro</x:v>
      </x:c>
      <x:c r="C496" s="14" t="str">
        <x:v>operational</x:v>
      </x:c>
      <x:c r="D496" s="20" t="str">
        <x:v>Perunchani Small Hydro Project</x:v>
      </x:c>
      <x:c r="E496" s="14" t="str">
        <x:v>Tamil Nadu</x:v>
      </x:c>
      <x:c r="F496" s="14" t="str">
        <x:v>Kanniyakumari</x:v>
      </x:c>
      <x:c r="G496" s="14" t="str">
        <x:v>Kanyakumari</x:v>
      </x:c>
      <x:c r="H496" s="14" t="str">
        <x:v>2006-01-22</x:v>
      </x:c>
      <x:c r="I496" s="15" t="n">
        <x:v>0.65</x:v>
      </x:c>
      <x:c r="J496" s="16" t="n">
        <x:v>1</x:v>
      </x:c>
      <x:c r="K496" s="15" t="n">
        <x:f>I496*J496</x:f>
        <x:v>0.65</x:v>
      </x:c>
      <x:c r="L496" s="20" t="str">
        <x:v>Tamil Nadu Generation and Distribution Corp. Ltd. (TANGEDCO)</x:v>
      </x:c>
      <x:c r="M496" s="20" t="str">
        <x:v>District carried from original workbook</x:v>
      </x:c>
      <x:c r="N496" s="20" t="str"/>
      <x:c r="O496" s="20" t="str">
        <x:v>Existing</x:v>
      </x:c>
      <x:c r="P496" s="20" t="str">
        <x:v>No online correction applied because a single district was already provided.</x:v>
      </x:c>
    </x:row>
    <x:row r="497">
      <x:c r="A497" s="14" t="n">
        <x:v>311</x:v>
      </x:c>
      <x:c r="B497" s="14" t="str">
        <x:v>Small-Hydro</x:v>
      </x:c>
      <x:c r="C497" s="14" t="str">
        <x:v>operational</x:v>
      </x:c>
      <x:c r="D497" s="20" t="str">
        <x:v>Punachi Small Hydro Project</x:v>
      </x:c>
      <x:c r="E497" s="14" t="str">
        <x:v>Tamil Nadu</x:v>
      </x:c>
      <x:c r="F497" s="14" t="str">
        <x:v>Coimbatore</x:v>
      </x:c>
      <x:c r="G497" s="14" t="str">
        <x:v>Coimbatore</x:v>
      </x:c>
      <x:c r="H497" s="14" t="str">
        <x:v>1992-11-12</x:v>
      </x:c>
      <x:c r="I497" s="15" t="n">
        <x:v>1</x:v>
      </x:c>
      <x:c r="J497" s="16" t="n">
        <x:v>1</x:v>
      </x:c>
      <x:c r="K497" s="15" t="n">
        <x:f>I497*J497</x:f>
        <x:v>1</x:v>
      </x:c>
      <x:c r="L497" s="20" t="str">
        <x:v>Tamil Nadu Generation and Distribution Corp. Ltd. (TANGEDCO)</x:v>
      </x:c>
      <x:c r="M497" s="20" t="str">
        <x:v>District carried from original workbook</x:v>
      </x:c>
      <x:c r="N497" s="20" t="str"/>
      <x:c r="O497" s="20" t="str">
        <x:v>Existing</x:v>
      </x:c>
      <x:c r="P497" s="20" t="str">
        <x:v>No online correction applied because a single district was already provided.</x:v>
      </x:c>
    </x:row>
    <x:row r="498">
      <x:c r="A498" s="14" t="n">
        <x:v>312</x:v>
      </x:c>
      <x:c r="B498" s="14" t="str">
        <x:v>Small-Hydro</x:v>
      </x:c>
      <x:c r="C498" s="14" t="str">
        <x:v>operational</x:v>
      </x:c>
      <x:c r="D498" s="20" t="str">
        <x:v>Punachi Small Hydro Project</x:v>
      </x:c>
      <x:c r="E498" s="14" t="str">
        <x:v>Tamil Nadu</x:v>
      </x:c>
      <x:c r="F498" s="14" t="str">
        <x:v>Coimbatore</x:v>
      </x:c>
      <x:c r="G498" s="14" t="str">
        <x:v>Coimbatore</x:v>
      </x:c>
      <x:c r="H498" s="14" t="str">
        <x:v>1992-12-16</x:v>
      </x:c>
      <x:c r="I498" s="15" t="n">
        <x:v>1</x:v>
      </x:c>
      <x:c r="J498" s="16" t="n">
        <x:v>1</x:v>
      </x:c>
      <x:c r="K498" s="15" t="n">
        <x:f>I498*J498</x:f>
        <x:v>1</x:v>
      </x:c>
      <x:c r="L498" s="20" t="str">
        <x:v>Tamil Nadu Generation and Distribution Corp. Ltd. (TANGEDCO)</x:v>
      </x:c>
      <x:c r="M498" s="20" t="str">
        <x:v>District carried from original workbook</x:v>
      </x:c>
      <x:c r="N498" s="20" t="str"/>
      <x:c r="O498" s="20" t="str">
        <x:v>Existing</x:v>
      </x:c>
      <x:c r="P498" s="20" t="str">
        <x:v>No online correction applied because a single district was already provided.</x:v>
      </x:c>
    </x:row>
    <x:row r="499">
      <x:c r="A499" s="14" t="n">
        <x:v>313</x:v>
      </x:c>
      <x:c r="B499" s="14" t="str">
        <x:v>Small-Hydro</x:v>
      </x:c>
      <x:c r="C499" s="14" t="str">
        <x:v>operational</x:v>
      </x:c>
      <x:c r="D499" s="20" t="str">
        <x:v>Pykara Micro Power House</x:v>
      </x:c>
      <x:c r="E499" s="14" t="str">
        <x:v>Tamil Nadu</x:v>
      </x:c>
      <x:c r="F499" s="14" t="str">
        <x:v>Nilgiris</x:v>
      </x:c>
      <x:c r="G499" s="14" t="str">
        <x:v>Nilgiris</x:v>
      </x:c>
      <x:c r="H499" s="14" t="str">
        <x:v>1989-10-09</x:v>
      </x:c>
      <x:c r="I499" s="15" t="n">
        <x:v>2</x:v>
      </x:c>
      <x:c r="J499" s="16" t="n">
        <x:v>1</x:v>
      </x:c>
      <x:c r="K499" s="15" t="n">
        <x:f>I499*J499</x:f>
        <x:v>2</x:v>
      </x:c>
      <x:c r="L499" s="20" t="str">
        <x:v>Tamil Nadu Generation and Distribution Corp. Ltd. (TANGEDCO)</x:v>
      </x:c>
      <x:c r="M499" s="20" t="str">
        <x:v>District carried from original workbook</x:v>
      </x:c>
      <x:c r="N499" s="20" t="str"/>
      <x:c r="O499" s="20" t="str">
        <x:v>Existing</x:v>
      </x:c>
      <x:c r="P499" s="20" t="str">
        <x:v>No online correction applied because a single district was already provided.</x:v>
      </x:c>
    </x:row>
    <x:row r="500">
      <x:c r="A500" s="14" t="n">
        <x:v>314</x:v>
      </x:c>
      <x:c r="B500" s="14" t="str">
        <x:v>Small-Hydro</x:v>
      </x:c>
      <x:c r="C500" s="14" t="str">
        <x:v>operational</x:v>
      </x:c>
      <x:c r="D500" s="20" t="str">
        <x:v>Sathanur Small Hydro Project</x:v>
      </x:c>
      <x:c r="E500" s="14" t="str">
        <x:v>Tamil Nadu</x:v>
      </x:c>
      <x:c r="F500" s="14" t="str">
        <x:v>Tiruvannamalai</x:v>
      </x:c>
      <x:c r="G500" s="14" t="str">
        <x:v>Tiruvannamalai</x:v>
      </x:c>
      <x:c r="H500" s="14" t="str">
        <x:v>1999-03-10</x:v>
      </x:c>
      <x:c r="I500" s="15" t="n">
        <x:v>7.5</x:v>
      </x:c>
      <x:c r="J500" s="16" t="n">
        <x:v>1</x:v>
      </x:c>
      <x:c r="K500" s="15" t="n">
        <x:f>I500*J500</x:f>
        <x:v>7.5</x:v>
      </x:c>
      <x:c r="L500" s="20" t="str">
        <x:v>Tamil Nadu Generation and Distribution Corp. Ltd. (TANGEDCO)</x:v>
      </x:c>
      <x:c r="M500" s="20" t="str">
        <x:v>District carried from original workbook</x:v>
      </x:c>
      <x:c r="N500" s="20" t="str"/>
      <x:c r="O500" s="20" t="str">
        <x:v>Existing</x:v>
      </x:c>
      <x:c r="P500" s="20" t="str">
        <x:v>No online correction applied because a single district was already provided.</x:v>
      </x:c>
    </x:row>
    <x:row r="501">
      <x:c r="A501" s="14" t="n">
        <x:v>315</x:v>
      </x:c>
      <x:c r="B501" s="14" t="str">
        <x:v>Small-Hydro</x:v>
      </x:c>
      <x:c r="C501" s="14" t="str">
        <x:v>operational</x:v>
      </x:c>
      <x:c r="D501" s="20" t="str">
        <x:v>Servalar Small Hydro Project</x:v>
      </x:c>
      <x:c r="E501" s="14" t="str">
        <x:v>Tamil Nadu</x:v>
      </x:c>
      <x:c r="F501" s="14" t="str">
        <x:v>Tirunelveli</x:v>
      </x:c>
      <x:c r="G501" s="14" t="str">
        <x:v>Tirunelveli</x:v>
      </x:c>
      <x:c r="H501" s="14" t="str">
        <x:v>1986-03-23</x:v>
      </x:c>
      <x:c r="I501" s="15" t="n">
        <x:v>20</x:v>
      </x:c>
      <x:c r="J501" s="16" t="n">
        <x:v>1</x:v>
      </x:c>
      <x:c r="K501" s="15" t="n">
        <x:f>I501*J501</x:f>
        <x:v>20</x:v>
      </x:c>
      <x:c r="L501" s="20" t="str">
        <x:v>Tamil Nadu Generation and Distribution Corp. Ltd. (TANGEDCO)</x:v>
      </x:c>
      <x:c r="M501" s="20" t="str">
        <x:v>District carried from original workbook</x:v>
      </x:c>
      <x:c r="N501" s="20" t="str"/>
      <x:c r="O501" s="20" t="str">
        <x:v>Existing</x:v>
      </x:c>
      <x:c r="P501" s="20" t="str">
        <x:v>No online correction applied because a single district was already provided.</x:v>
      </x:c>
    </x:row>
    <x:row r="502">
      <x:c r="A502" s="14" t="n">
        <x:v>316</x:v>
      </x:c>
      <x:c r="B502" s="14" t="str">
        <x:v>Small-Hydro</x:v>
      </x:c>
      <x:c r="C502" s="14" t="str">
        <x:v>operational</x:v>
      </x:c>
      <x:c r="D502" s="20" t="str">
        <x:v>Sholayar II Power House</x:v>
      </x:c>
      <x:c r="E502" s="14" t="str">
        <x:v>Tamil Nadu</x:v>
      </x:c>
      <x:c r="F502" s="14" t="str">
        <x:v>Coimbatore</x:v>
      </x:c>
      <x:c r="G502" s="14" t="str">
        <x:v>Coimbatore</x:v>
      </x:c>
      <x:c r="H502" s="14" t="str">
        <x:v>1971-03-29</x:v>
      </x:c>
      <x:c r="I502" s="15" t="n">
        <x:v>25</x:v>
      </x:c>
      <x:c r="J502" s="16" t="n">
        <x:v>1</x:v>
      </x:c>
      <x:c r="K502" s="15" t="n">
        <x:f>I502*J502</x:f>
        <x:v>25</x:v>
      </x:c>
      <x:c r="L502" s="20" t="str">
        <x:v>Tamil Nadu Generation and Distribution Corp. Ltd. (TANGEDCO)</x:v>
      </x:c>
      <x:c r="M502" s="20" t="str">
        <x:v>District carried from original workbook</x:v>
      </x:c>
      <x:c r="N502" s="20" t="str"/>
      <x:c r="O502" s="20" t="str">
        <x:v>Existing</x:v>
      </x:c>
      <x:c r="P502" s="20" t="str">
        <x:v>No online correction applied because a single district was already provided.</x:v>
      </x:c>
    </x:row>
    <x:row r="503">
      <x:c r="A503" s="14" t="n">
        <x:v>317</x:v>
      </x:c>
      <x:c r="B503" s="14" t="str">
        <x:v>Small-Hydro</x:v>
      </x:c>
      <x:c r="C503" s="14" t="str">
        <x:v>operational</x:v>
      </x:c>
      <x:c r="D503" s="20" t="str">
        <x:v>Tamil Nadu Small Hydro Project Bunched</x:v>
      </x:c>
      <x:c r="E503" s="14" t="str">
        <x:v>Tamil Nadu</x:v>
      </x:c>
      <x:c r="F503" s="14" t="str">
        <x:v>Location TBC</x:v>
      </x:c>
      <x:c r="G503" s="14" t="str">
        <x:v>Madurai</x:v>
      </x:c>
      <x:c r="H503" s="14" t="str">
        <x:v>N.A.</x:v>
      </x:c>
      <x:c r="I503" s="15" t="n">
        <x:v>0.35</x:v>
      </x:c>
      <x:c r="J503" s="16" t="n">
        <x:v>1</x:v>
      </x:c>
      <x:c r="K503" s="15" t="n">
        <x:f>I503*J503</x:f>
        <x:v>0.35</x:v>
      </x:c>
      <x:c r="L503" s="20" t="str">
        <x:v>nan</x:v>
      </x:c>
      <x:c r="M503" s="20" t="str">
        <x:v>Capacity-and-technology match to Tuklapatti canal-drop small hydro project</x:v>
      </x:c>
      <x:c r="N503" s="20" t="str">
        <x:v>https://www.nsenergybusiness.com/news/newstamil-nadu-to-consider-small-hydro-in-india/</x:v>
      </x:c>
      <x:c r="O503" s="20" t="str">
        <x:v>Medium</x:v>
      </x:c>
      <x:c r="P503" s="20" t="str">
        <x:v>The generic 0.35 MW bunched entry is matched to the 350 kW Tuklapatti project reported in Madurai; confirm if a plant identifier becomes available.</x:v>
      </x:c>
    </x:row>
    <x:row r="504">
      <x:c r="A504" s="14" t="n">
        <x:v>318</x:v>
      </x:c>
      <x:c r="B504" s="14" t="str">
        <x:v>Small-Hydro</x:v>
      </x:c>
      <x:c r="C504" s="14" t="str">
        <x:v>operational</x:v>
      </x:c>
      <x:c r="D504" s="20" t="str">
        <x:v>Thirumurthy Mini Hydel Project</x:v>
      </x:c>
      <x:c r="E504" s="14" t="str">
        <x:v>Tamil Nadu</x:v>
      </x:c>
      <x:c r="F504" s="14" t="str">
        <x:v>Tiruppur</x:v>
      </x:c>
      <x:c r="G504" s="14" t="str">
        <x:v>Tiruppur</x:v>
      </x:c>
      <x:c r="H504" s="14" t="str">
        <x:v>2000-03-20</x:v>
      </x:c>
      <x:c r="I504" s="15" t="n">
        <x:v>0.65</x:v>
      </x:c>
      <x:c r="J504" s="16" t="n">
        <x:v>1</x:v>
      </x:c>
      <x:c r="K504" s="15" t="n">
        <x:f>I504*J504</x:f>
        <x:v>0.65</x:v>
      </x:c>
      <x:c r="L504" s="20" t="str">
        <x:v>Tamil Nadu Generation and Distribution Corp. Ltd. (TANGEDCO)</x:v>
      </x:c>
      <x:c r="M504" s="20" t="str">
        <x:v>District carried from original workbook</x:v>
      </x:c>
      <x:c r="N504" s="20" t="str"/>
      <x:c r="O504" s="20" t="str">
        <x:v>Existing</x:v>
      </x:c>
      <x:c r="P504" s="20" t="str">
        <x:v>No online correction applied because a single district was already provided.</x:v>
      </x:c>
    </x:row>
    <x:row r="505">
      <x:c r="A505" s="14" t="n">
        <x:v>319</x:v>
      </x:c>
      <x:c r="B505" s="14" t="str">
        <x:v>Small-Hydro</x:v>
      </x:c>
      <x:c r="C505" s="14" t="str">
        <x:v>operational</x:v>
      </x:c>
      <x:c r="D505" s="20" t="str">
        <x:v>Thirumurthy Mini Hydel Project</x:v>
      </x:c>
      <x:c r="E505" s="14" t="str">
        <x:v>Tamil Nadu</x:v>
      </x:c>
      <x:c r="F505" s="14" t="str">
        <x:v>Tiruppur</x:v>
      </x:c>
      <x:c r="G505" s="14" t="str">
        <x:v>Tiruppur</x:v>
      </x:c>
      <x:c r="H505" s="14" t="str">
        <x:v>2000-03-20</x:v>
      </x:c>
      <x:c r="I505" s="15" t="n">
        <x:v>0.65</x:v>
      </x:c>
      <x:c r="J505" s="16" t="n">
        <x:v>1</x:v>
      </x:c>
      <x:c r="K505" s="15" t="n">
        <x:f>I505*J505</x:f>
        <x:v>0.65</x:v>
      </x:c>
      <x:c r="L505" s="20" t="str">
        <x:v>Tamil Nadu Generation and Distribution Corp. Ltd. (TANGEDCO)</x:v>
      </x:c>
      <x:c r="M505" s="20" t="str">
        <x:v>District carried from original workbook</x:v>
      </x:c>
      <x:c r="N505" s="20" t="str"/>
      <x:c r="O505" s="20" t="str">
        <x:v>Existing</x:v>
      </x:c>
      <x:c r="P505" s="20" t="str">
        <x:v>No online correction applied because a single district was already provided.</x:v>
      </x:c>
    </x:row>
    <x:row r="506">
      <x:c r="A506" s="14" t="n">
        <x:v>320</x:v>
      </x:c>
      <x:c r="B506" s="14" t="str">
        <x:v>Small-Hydro</x:v>
      </x:c>
      <x:c r="C506" s="14" t="str">
        <x:v>operational</x:v>
      </x:c>
      <x:c r="D506" s="20" t="str">
        <x:v>Thirumurthy Mini Hydel Project</x:v>
      </x:c>
      <x:c r="E506" s="14" t="str">
        <x:v>Tamil Nadu</x:v>
      </x:c>
      <x:c r="F506" s="14" t="str">
        <x:v>Tiruppur</x:v>
      </x:c>
      <x:c r="G506" s="14" t="str">
        <x:v>Tiruppur</x:v>
      </x:c>
      <x:c r="H506" s="14" t="str">
        <x:v>2000-03-20</x:v>
      </x:c>
      <x:c r="I506" s="15" t="n">
        <x:v>0.65</x:v>
      </x:c>
      <x:c r="J506" s="16" t="n">
        <x:v>1</x:v>
      </x:c>
      <x:c r="K506" s="15" t="n">
        <x:f>I506*J506</x:f>
        <x:v>0.65</x:v>
      </x:c>
      <x:c r="L506" s="20" t="str">
        <x:v>Tamil Nadu Generation and Distribution Corp. Ltd. (TANGEDCO)</x:v>
      </x:c>
      <x:c r="M506" s="20" t="str">
        <x:v>District carried from original workbook</x:v>
      </x:c>
      <x:c r="N506" s="20" t="str"/>
      <x:c r="O506" s="20" t="str">
        <x:v>Existing</x:v>
      </x:c>
      <x:c r="P506" s="20" t="str">
        <x:v>No online correction applied because a single district was already provided.</x:v>
      </x:c>
    </x:row>
    <x:row r="507">
      <x:c r="A507" s="14" t="n">
        <x:v>321</x:v>
      </x:c>
      <x:c r="B507" s="14" t="str">
        <x:v>Small-Hydro</x:v>
      </x:c>
      <x:c r="C507" s="14" t="str">
        <x:v>operational</x:v>
      </x:c>
      <x:c r="D507" s="20" t="str">
        <x:v>Vaigai Hydro Power Project</x:v>
      </x:c>
      <x:c r="E507" s="14" t="str">
        <x:v>Tamil Nadu</x:v>
      </x:c>
      <x:c r="F507" s="14" t="str">
        <x:v>Kanniyakumari</x:v>
      </x:c>
      <x:c r="G507" s="14" t="str">
        <x:v>Kanyakumari</x:v>
      </x:c>
      <x:c r="H507" s="14" t="str">
        <x:v>1990-03-04</x:v>
      </x:c>
      <x:c r="I507" s="15" t="n">
        <x:v>3</x:v>
      </x:c>
      <x:c r="J507" s="16" t="n">
        <x:v>1</x:v>
      </x:c>
      <x:c r="K507" s="15" t="n">
        <x:f>I507*J507</x:f>
        <x:v>3</x:v>
      </x:c>
      <x:c r="L507" s="20" t="str">
        <x:v>Tamil Nadu Generation and Distribution Corp. Ltd. (TANGEDCO)</x:v>
      </x:c>
      <x:c r="M507" s="20" t="str">
        <x:v>District carried from original workbook</x:v>
      </x:c>
      <x:c r="N507" s="20" t="str"/>
      <x:c r="O507" s="20" t="str">
        <x:v>Existing</x:v>
      </x:c>
      <x:c r="P507" s="20" t="str">
        <x:v>No online correction applied because a single district was already provided.</x:v>
      </x:c>
    </x:row>
    <x:row r="508">
      <x:c r="A508" s="17" t="n">
        <x:v>322</x:v>
      </x:c>
      <x:c r="B508" s="17" t="str">
        <x:v>Small-Hydro</x:v>
      </x:c>
      <x:c r="C508" s="17" t="str">
        <x:v>operational</x:v>
      </x:c>
      <x:c r="D508" s="21" t="str">
        <x:v>Vaigai Hydro Power Project</x:v>
      </x:c>
      <x:c r="E508" s="17" t="str">
        <x:v>Tamil Nadu</x:v>
      </x:c>
      <x:c r="F508" s="17" t="str">
        <x:v>Theni</x:v>
      </x:c>
      <x:c r="G508" s="17" t="str">
        <x:v>Theni</x:v>
      </x:c>
      <x:c r="H508" s="17" t="str">
        <x:v>1990-03-04</x:v>
      </x:c>
      <x:c r="I508" s="18" t="n">
        <x:v>3</x:v>
      </x:c>
      <x:c r="J508" s="19" t="n">
        <x:v>1</x:v>
      </x:c>
      <x:c r="K508" s="18" t="n">
        <x:f>I508*J508</x:f>
        <x:v>3</x:v>
      </x:c>
      <x:c r="L508" s="21" t="str">
        <x:v>Tamil Nadu Generation and Distribution Corp. Ltd. (TANGEDCO)</x:v>
      </x:c>
      <x:c r="M508" s="21" t="str">
        <x:v>District carried from original workbook</x:v>
      </x:c>
      <x:c r="N508" s="21" t="str"/>
      <x:c r="O508" s="21" t="str">
        <x:v>Existing</x:v>
      </x:c>
      <x:c r="P508" s="21" t="str">
        <x:v>No online correction applied because a single district was already provided.</x:v>
      </x:c>
    </x:row>
  </x:sheetData>
  <x:conditionalFormatting sqref="O2:O508">
    <x:cfRule type="containsText" dxfId="0" priority="1" operator="containsText" text="Low"/>
    <x:cfRule type="containsText" dxfId="1" priority="2" operator="containsText" text="High"/>
    <x:cfRule type="containsText" dxfId="2" priority="3" operator="containsText" text="Medium"/>
  </x:conditionalFormatting>
  <x:pageMargins left="0.7" right="0.7" top="0.75" bottom="0.75" header="0.3" footer="0.3"/>
  <x:tableParts count="1">
    <x:tablePart xmlns:r="http://schemas.openxmlformats.org/officeDocument/2006/relationships" r:id="Rf1d5d1838ea946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46" hidden="0" customWidth="1"/>
    <x:col min="4" max="4" width="22" hidden="0" customWidth="1"/>
    <x:col min="5" max="5" width="22" hidden="0" customWidth="1"/>
    <x:col min="6" max="6" width="22" hidden="0" customWidth="1"/>
    <x:col min="7" max="7" width="12" hidden="0" customWidth="1"/>
  </x:cols>
  <x:sheetData>
    <x:row r="1">
      <x:c r="A1" s="5" t="str">
        <x:v>Original Row</x:v>
      </x:c>
      <x:c r="B1" s="5" t="str">
        <x:v>Source</x:v>
      </x:c>
      <x:c r="C1" s="5" t="str">
        <x:v>Name of Power Plant</x:v>
      </x:c>
      <x:c r="D1" s="5" t="str">
        <x:v>Original Capacity (MW)</x:v>
      </x:c>
      <x:c r="E1" s="5" t="str">
        <x:v>Allocated Capacity (MW)</x:v>
      </x:c>
      <x:c r="F1" s="5" t="str">
        <x:v>Difference (MW)</x:v>
      </x:c>
      <x:c r="G1" s="5" t="str">
        <x:v>Check</x:v>
      </x:c>
    </x:row>
    <x:row r="2">
      <x:c r="A2" t="n">
        <x:v>2</x:v>
      </x:c>
      <x:c r="B2" t="str">
        <x:f>'PlantInfo'!A2</x:f>
        <x:v>Coal</x:v>
      </x:c>
      <x:c r="C2" s="22" t="str">
        <x:f>'PlantInfo'!C2</x:f>
        <x:v>Ennore SEZ Expansion SCTPP</x:v>
      </x:c>
      <x:c r="D2" s="23" t="n">
        <x:f>'PlantInfo'!G2</x:f>
        <x:v>660</x:v>
      </x:c>
      <x:c r="E2" s="23" t="n">
        <x:f>SUMIF('District Allocation'!$A$2:$A$508,A2,'District Allocation'!$K$2:$K$508)</x:f>
        <x:v>660</x:v>
      </x:c>
      <x:c r="F2" s="23" t="n">
        <x:f>E2-D2</x:f>
        <x:v>0</x:v>
      </x:c>
      <x:c r="G2" t="str">
        <x:f>IF(ABS(F2)&lt;0.000001,"OK","CHECK")</x:f>
        <x:v>OK</x:v>
      </x:c>
    </x:row>
    <x:row r="3">
      <x:c r="A3" t="n">
        <x:v>3</x:v>
      </x:c>
      <x:c r="B3" t="str">
        <x:f>'PlantInfo'!A3</x:f>
        <x:v>Coal</x:v>
      </x:c>
      <x:c r="C3" s="22" t="str">
        <x:f>'PlantInfo'!C3</x:f>
        <x:v>Ennore SEZ Expansion SCTPP</x:v>
      </x:c>
      <x:c r="D3" s="23" t="n">
        <x:f>'PlantInfo'!G3</x:f>
        <x:v>660</x:v>
      </x:c>
      <x:c r="E3" s="23" t="n">
        <x:f>SUMIF('District Allocation'!$A$2:$A$508,A3,'District Allocation'!$K$2:$K$508)</x:f>
        <x:v>660</x:v>
      </x:c>
      <x:c r="F3" s="23" t="n">
        <x:f>E3-D3</x:f>
        <x:v>0</x:v>
      </x:c>
      <x:c r="G3" t="str">
        <x:f>IF(ABS(F3)&lt;0.000001,"OK","CHECK")</x:f>
        <x:v>OK</x:v>
      </x:c>
    </x:row>
    <x:row r="4">
      <x:c r="A4" t="n">
        <x:v>4</x:v>
      </x:c>
      <x:c r="B4" t="str">
        <x:f>'PlantInfo'!A4</x:f>
        <x:v>Coal</x:v>
      </x:c>
      <x:c r="C4" s="22" t="str">
        <x:f>'PlantInfo'!C4</x:f>
        <x:v>Ennore TPS</x:v>
      </x:c>
      <x:c r="D4" s="23" t="n">
        <x:f>'PlantInfo'!G4</x:f>
        <x:v>60</x:v>
      </x:c>
      <x:c r="E4" s="23" t="n">
        <x:f>SUMIF('District Allocation'!$A$2:$A$508,A4,'District Allocation'!$K$2:$K$508)</x:f>
        <x:v>60</x:v>
      </x:c>
      <x:c r="F4" s="23" t="n">
        <x:f>E4-D4</x:f>
        <x:v>0</x:v>
      </x:c>
      <x:c r="G4" t="str">
        <x:f>IF(ABS(F4)&lt;0.000001,"OK","CHECK")</x:f>
        <x:v>OK</x:v>
      </x:c>
    </x:row>
    <x:row r="5">
      <x:c r="A5" t="n">
        <x:v>5</x:v>
      </x:c>
      <x:c r="B5" t="str">
        <x:f>'PlantInfo'!A5</x:f>
        <x:v>Coal</x:v>
      </x:c>
      <x:c r="C5" s="22" t="str">
        <x:f>'PlantInfo'!C5</x:f>
        <x:v>Ennore TPS</x:v>
      </x:c>
      <x:c r="D5" s="23" t="n">
        <x:f>'PlantInfo'!G5</x:f>
        <x:v>60</x:v>
      </x:c>
      <x:c r="E5" s="23" t="n">
        <x:f>SUMIF('District Allocation'!$A$2:$A$508,A5,'District Allocation'!$K$2:$K$508)</x:f>
        <x:v>60</x:v>
      </x:c>
      <x:c r="F5" s="23" t="n">
        <x:f>E5-D5</x:f>
        <x:v>0</x:v>
      </x:c>
      <x:c r="G5" t="str">
        <x:f>IF(ABS(F5)&lt;0.000001,"OK","CHECK")</x:f>
        <x:v>OK</x:v>
      </x:c>
    </x:row>
    <x:row r="6">
      <x:c r="A6" t="n">
        <x:v>6</x:v>
      </x:c>
      <x:c r="B6" t="str">
        <x:f>'PlantInfo'!A6</x:f>
        <x:v>Coal</x:v>
      </x:c>
      <x:c r="C6" s="22" t="str">
        <x:f>'PlantInfo'!C6</x:f>
        <x:v>Ennore TPS</x:v>
      </x:c>
      <x:c r="D6" s="23" t="n">
        <x:f>'PlantInfo'!G6</x:f>
        <x:v>110</x:v>
      </x:c>
      <x:c r="E6" s="23" t="n">
        <x:f>SUMIF('District Allocation'!$A$2:$A$508,A6,'District Allocation'!$K$2:$K$508)</x:f>
        <x:v>110</x:v>
      </x:c>
      <x:c r="F6" s="23" t="n">
        <x:f>E6-D6</x:f>
        <x:v>0</x:v>
      </x:c>
      <x:c r="G6" t="str">
        <x:f>IF(ABS(F6)&lt;0.000001,"OK","CHECK")</x:f>
        <x:v>OK</x:v>
      </x:c>
    </x:row>
    <x:row r="7">
      <x:c r="A7" t="n">
        <x:v>7</x:v>
      </x:c>
      <x:c r="B7" t="str">
        <x:f>'PlantInfo'!A7</x:f>
        <x:v>Coal</x:v>
      </x:c>
      <x:c r="C7" s="22" t="str">
        <x:f>'PlantInfo'!C7</x:f>
        <x:v>Ennore TPS</x:v>
      </x:c>
      <x:c r="D7" s="23" t="n">
        <x:f>'PlantInfo'!G7</x:f>
        <x:v>110</x:v>
      </x:c>
      <x:c r="E7" s="23" t="n">
        <x:f>SUMIF('District Allocation'!$A$2:$A$508,A7,'District Allocation'!$K$2:$K$508)</x:f>
        <x:v>110</x:v>
      </x:c>
      <x:c r="F7" s="23" t="n">
        <x:f>E7-D7</x:f>
        <x:v>0</x:v>
      </x:c>
      <x:c r="G7" t="str">
        <x:f>IF(ABS(F7)&lt;0.000001,"OK","CHECK")</x:f>
        <x:v>OK</x:v>
      </x:c>
    </x:row>
    <x:row r="8">
      <x:c r="A8" t="n">
        <x:v>8</x:v>
      </x:c>
      <x:c r="B8" t="str">
        <x:f>'PlantInfo'!A8</x:f>
        <x:v>Coal</x:v>
      </x:c>
      <x:c r="C8" s="22" t="str">
        <x:f>'PlantInfo'!C8</x:f>
        <x:v>Ennore TPS</x:v>
      </x:c>
      <x:c r="D8" s="23" t="n">
        <x:f>'PlantInfo'!G8</x:f>
        <x:v>110</x:v>
      </x:c>
      <x:c r="E8" s="23" t="n">
        <x:f>SUMIF('District Allocation'!$A$2:$A$508,A8,'District Allocation'!$K$2:$K$508)</x:f>
        <x:v>110</x:v>
      </x:c>
      <x:c r="F8" s="23" t="n">
        <x:f>E8-D8</x:f>
        <x:v>0</x:v>
      </x:c>
      <x:c r="G8" t="str">
        <x:f>IF(ABS(F8)&lt;0.000001,"OK","CHECK")</x:f>
        <x:v>OK</x:v>
      </x:c>
    </x:row>
    <x:row r="9">
      <x:c r="A9" t="n">
        <x:v>9</x:v>
      </x:c>
      <x:c r="B9" t="str">
        <x:f>'PlantInfo'!A9</x:f>
        <x:v>Coal</x:v>
      </x:c>
      <x:c r="C9" s="22" t="str">
        <x:f>'PlantInfo'!C9</x:f>
        <x:v>ITPCL or Cuddalore TPP</x:v>
      </x:c>
      <x:c r="D9" s="23" t="n">
        <x:f>'PlantInfo'!G9</x:f>
        <x:v>600</x:v>
      </x:c>
      <x:c r="E9" s="23" t="n">
        <x:f>SUMIF('District Allocation'!$A$2:$A$508,A9,'District Allocation'!$K$2:$K$508)</x:f>
        <x:v>600</x:v>
      </x:c>
      <x:c r="F9" s="23" t="n">
        <x:f>E9-D9</x:f>
        <x:v>0</x:v>
      </x:c>
      <x:c r="G9" t="str">
        <x:f>IF(ABS(F9)&lt;0.000001,"OK","CHECK")</x:f>
        <x:v>OK</x:v>
      </x:c>
    </x:row>
    <x:row r="10">
      <x:c r="A10" t="n">
        <x:v>10</x:v>
      </x:c>
      <x:c r="B10" t="str">
        <x:f>'PlantInfo'!A10</x:f>
        <x:v>Coal</x:v>
      </x:c>
      <x:c r="C10" s="22" t="str">
        <x:f>'PlantInfo'!C10</x:f>
        <x:v>ITPCL or Cuddalore TPP</x:v>
      </x:c>
      <x:c r="D10" s="23" t="n">
        <x:f>'PlantInfo'!G10</x:f>
        <x:v>600</x:v>
      </x:c>
      <x:c r="E10" s="23" t="n">
        <x:f>SUMIF('District Allocation'!$A$2:$A$508,A10,'District Allocation'!$K$2:$K$508)</x:f>
        <x:v>600</x:v>
      </x:c>
      <x:c r="F10" s="23" t="n">
        <x:f>E10-D10</x:f>
        <x:v>0</x:v>
      </x:c>
      <x:c r="G10" t="str">
        <x:f>IF(ABS(F10)&lt;0.000001,"OK","CHECK")</x:f>
        <x:v>OK</x:v>
      </x:c>
    </x:row>
    <x:row r="11">
      <x:c r="A11" t="n">
        <x:v>11</x:v>
      </x:c>
      <x:c r="B11" t="str">
        <x:f>'PlantInfo'!A11</x:f>
        <x:v>Coal</x:v>
      </x:c>
      <x:c r="C11" s="22" t="str">
        <x:f>'PlantInfo'!C11</x:f>
        <x:v>Mettur TPS</x:v>
      </x:c>
      <x:c r="D11" s="23" t="n">
        <x:f>'PlantInfo'!G11</x:f>
        <x:v>210</x:v>
      </x:c>
      <x:c r="E11" s="23" t="n">
        <x:f>SUMIF('District Allocation'!$A$2:$A$508,A11,'District Allocation'!$K$2:$K$508)</x:f>
        <x:v>210</x:v>
      </x:c>
      <x:c r="F11" s="23" t="n">
        <x:f>E11-D11</x:f>
        <x:v>0</x:v>
      </x:c>
      <x:c r="G11" t="str">
        <x:f>IF(ABS(F11)&lt;0.000001,"OK","CHECK")</x:f>
        <x:v>OK</x:v>
      </x:c>
    </x:row>
    <x:row r="12">
      <x:c r="A12" t="n">
        <x:v>12</x:v>
      </x:c>
      <x:c r="B12" t="str">
        <x:f>'PlantInfo'!A12</x:f>
        <x:v>Coal</x:v>
      </x:c>
      <x:c r="C12" s="22" t="str">
        <x:f>'PlantInfo'!C12</x:f>
        <x:v>Mettur TPS</x:v>
      </x:c>
      <x:c r="D12" s="23" t="n">
        <x:f>'PlantInfo'!G12</x:f>
        <x:v>210</x:v>
      </x:c>
      <x:c r="E12" s="23" t="n">
        <x:f>SUMIF('District Allocation'!$A$2:$A$508,A12,'District Allocation'!$K$2:$K$508)</x:f>
        <x:v>210</x:v>
      </x:c>
      <x:c r="F12" s="23" t="n">
        <x:f>E12-D12</x:f>
        <x:v>0</x:v>
      </x:c>
      <x:c r="G12" t="str">
        <x:f>IF(ABS(F12)&lt;0.000001,"OK","CHECK")</x:f>
        <x:v>OK</x:v>
      </x:c>
    </x:row>
    <x:row r="13">
      <x:c r="A13" t="n">
        <x:v>13</x:v>
      </x:c>
      <x:c r="B13" t="str">
        <x:f>'PlantInfo'!A13</x:f>
        <x:v>Coal</x:v>
      </x:c>
      <x:c r="C13" s="22" t="str">
        <x:f>'PlantInfo'!C13</x:f>
        <x:v>Mettur TPS</x:v>
      </x:c>
      <x:c r="D13" s="23" t="n">
        <x:f>'PlantInfo'!G13</x:f>
        <x:v>210</x:v>
      </x:c>
      <x:c r="E13" s="23" t="n">
        <x:f>SUMIF('District Allocation'!$A$2:$A$508,A13,'District Allocation'!$K$2:$K$508)</x:f>
        <x:v>210</x:v>
      </x:c>
      <x:c r="F13" s="23" t="n">
        <x:f>E13-D13</x:f>
        <x:v>0</x:v>
      </x:c>
      <x:c r="G13" t="str">
        <x:f>IF(ABS(F13)&lt;0.000001,"OK","CHECK")</x:f>
        <x:v>OK</x:v>
      </x:c>
    </x:row>
    <x:row r="14">
      <x:c r="A14" t="n">
        <x:v>14</x:v>
      </x:c>
      <x:c r="B14" t="str">
        <x:f>'PlantInfo'!A14</x:f>
        <x:v>Coal</x:v>
      </x:c>
      <x:c r="C14" s="22" t="str">
        <x:f>'PlantInfo'!C14</x:f>
        <x:v>Mettur TPS</x:v>
      </x:c>
      <x:c r="D14" s="23" t="n">
        <x:f>'PlantInfo'!G14</x:f>
        <x:v>210</x:v>
      </x:c>
      <x:c r="E14" s="23" t="n">
        <x:f>SUMIF('District Allocation'!$A$2:$A$508,A14,'District Allocation'!$K$2:$K$508)</x:f>
        <x:v>210</x:v>
      </x:c>
      <x:c r="F14" s="23" t="n">
        <x:f>E14-D14</x:f>
        <x:v>0</x:v>
      </x:c>
      <x:c r="G14" t="str">
        <x:f>IF(ABS(F14)&lt;0.000001,"OK","CHECK")</x:f>
        <x:v>OK</x:v>
      </x:c>
    </x:row>
    <x:row r="15">
      <x:c r="A15" t="n">
        <x:v>15</x:v>
      </x:c>
      <x:c r="B15" t="str">
        <x:f>'PlantInfo'!A15</x:f>
        <x:v>Coal</x:v>
      </x:c>
      <x:c r="C15" s="22" t="str">
        <x:f>'PlantInfo'!C15</x:f>
        <x:v>Mettur TPS</x:v>
      </x:c>
      <x:c r="D15" s="23" t="n">
        <x:f>'PlantInfo'!G15</x:f>
        <x:v>600</x:v>
      </x:c>
      <x:c r="E15" s="23" t="n">
        <x:f>SUMIF('District Allocation'!$A$2:$A$508,A15,'District Allocation'!$K$2:$K$508)</x:f>
        <x:v>600</x:v>
      </x:c>
      <x:c r="F15" s="23" t="n">
        <x:f>E15-D15</x:f>
        <x:v>0</x:v>
      </x:c>
      <x:c r="G15" t="str">
        <x:f>IF(ABS(F15)&lt;0.000001,"OK","CHECK")</x:f>
        <x:v>OK</x:v>
      </x:c>
    </x:row>
    <x:row r="16">
      <x:c r="A16" t="n">
        <x:v>16</x:v>
      </x:c>
      <x:c r="B16" t="str">
        <x:f>'PlantInfo'!A16</x:f>
        <x:v>Coal</x:v>
      </x:c>
      <x:c r="C16" s="22" t="str">
        <x:f>'PlantInfo'!C16</x:f>
        <x:v>Muthiara TPP</x:v>
      </x:c>
      <x:c r="D16" s="23" t="n">
        <x:f>'PlantInfo'!G16</x:f>
        <x:v>600</x:v>
      </x:c>
      <x:c r="E16" s="23" t="n">
        <x:f>SUMIF('District Allocation'!$A$2:$A$508,A16,'District Allocation'!$K$2:$K$508)</x:f>
        <x:v>600</x:v>
      </x:c>
      <x:c r="F16" s="23" t="n">
        <x:f>E16-D16</x:f>
        <x:v>0</x:v>
      </x:c>
      <x:c r="G16" t="str">
        <x:f>IF(ABS(F16)&lt;0.000001,"OK","CHECK")</x:f>
        <x:v>OK</x:v>
      </x:c>
    </x:row>
    <x:row r="17">
      <x:c r="A17" t="n">
        <x:v>17</x:v>
      </x:c>
      <x:c r="B17" t="str">
        <x:f>'PlantInfo'!A17</x:f>
        <x:v>Coal</x:v>
      </x:c>
      <x:c r="C17" s="22" t="str">
        <x:f>'PlantInfo'!C17</x:f>
        <x:v>Muthiara TPP</x:v>
      </x:c>
      <x:c r="D17" s="23" t="n">
        <x:f>'PlantInfo'!G17</x:f>
        <x:v>600</x:v>
      </x:c>
      <x:c r="E17" s="23" t="n">
        <x:f>SUMIF('District Allocation'!$A$2:$A$508,A17,'District Allocation'!$K$2:$K$508)</x:f>
        <x:v>600</x:v>
      </x:c>
      <x:c r="F17" s="23" t="n">
        <x:f>E17-D17</x:f>
        <x:v>0</x:v>
      </x:c>
      <x:c r="G17" t="str">
        <x:f>IF(ABS(F17)&lt;0.000001,"OK","CHECK")</x:f>
        <x:v>OK</x:v>
      </x:c>
    </x:row>
    <x:row r="18">
      <x:c r="A18" t="n">
        <x:v>18</x:v>
      </x:c>
      <x:c r="B18" t="str">
        <x:f>'PlantInfo'!A18</x:f>
        <x:v>Coal</x:v>
      </x:c>
      <x:c r="C18" s="22" t="str">
        <x:f>'PlantInfo'!C18</x:f>
        <x:v>Neyveli (EXT) TPS I</x:v>
      </x:c>
      <x:c r="D18" s="23" t="n">
        <x:f>'PlantInfo'!G18</x:f>
        <x:v>210</x:v>
      </x:c>
      <x:c r="E18" s="23" t="n">
        <x:f>SUMIF('District Allocation'!$A$2:$A$508,A18,'District Allocation'!$K$2:$K$508)</x:f>
        <x:v>210</x:v>
      </x:c>
      <x:c r="F18" s="23" t="n">
        <x:f>E18-D18</x:f>
        <x:v>0</x:v>
      </x:c>
      <x:c r="G18" t="str">
        <x:f>IF(ABS(F18)&lt;0.000001,"OK","CHECK")</x:f>
        <x:v>OK</x:v>
      </x:c>
    </x:row>
    <x:row r="19">
      <x:c r="A19" t="n">
        <x:v>19</x:v>
      </x:c>
      <x:c r="B19" t="str">
        <x:f>'PlantInfo'!A19</x:f>
        <x:v>Coal</x:v>
      </x:c>
      <x:c r="C19" s="22" t="str">
        <x:f>'PlantInfo'!C19</x:f>
        <x:v>Neyveli (EXT) TPS I</x:v>
      </x:c>
      <x:c r="D19" s="23" t="n">
        <x:f>'PlantInfo'!G19</x:f>
        <x:v>210</x:v>
      </x:c>
      <x:c r="E19" s="23" t="n">
        <x:f>SUMIF('District Allocation'!$A$2:$A$508,A19,'District Allocation'!$K$2:$K$508)</x:f>
        <x:v>210</x:v>
      </x:c>
      <x:c r="F19" s="23" t="n">
        <x:f>E19-D19</x:f>
        <x:v>0</x:v>
      </x:c>
      <x:c r="G19" t="str">
        <x:f>IF(ABS(F19)&lt;0.000001,"OK","CHECK")</x:f>
        <x:v>OK</x:v>
      </x:c>
    </x:row>
    <x:row r="20">
      <x:c r="A20" t="n">
        <x:v>20</x:v>
      </x:c>
      <x:c r="B20" t="str">
        <x:f>'PlantInfo'!A20</x:f>
        <x:v>Coal</x:v>
      </x:c>
      <x:c r="C20" s="22" t="str">
        <x:f>'PlantInfo'!C20</x:f>
        <x:v>Neyveli (EXT) TPS II</x:v>
      </x:c>
      <x:c r="D20" s="23" t="n">
        <x:f>'PlantInfo'!G20</x:f>
        <x:v>250</x:v>
      </x:c>
      <x:c r="E20" s="23" t="n">
        <x:f>SUMIF('District Allocation'!$A$2:$A$508,A20,'District Allocation'!$K$2:$K$508)</x:f>
        <x:v>250</x:v>
      </x:c>
      <x:c r="F20" s="23" t="n">
        <x:f>E20-D20</x:f>
        <x:v>0</x:v>
      </x:c>
      <x:c r="G20" t="str">
        <x:f>IF(ABS(F20)&lt;0.000001,"OK","CHECK")</x:f>
        <x:v>OK</x:v>
      </x:c>
    </x:row>
    <x:row r="21">
      <x:c r="A21" t="n">
        <x:v>21</x:v>
      </x:c>
      <x:c r="B21" t="str">
        <x:f>'PlantInfo'!A21</x:f>
        <x:v>Coal</x:v>
      </x:c>
      <x:c r="C21" s="22" t="str">
        <x:f>'PlantInfo'!C21</x:f>
        <x:v>Neyveli (EXT) TPS II</x:v>
      </x:c>
      <x:c r="D21" s="23" t="n">
        <x:f>'PlantInfo'!G21</x:f>
        <x:v>250</x:v>
      </x:c>
      <x:c r="E21" s="23" t="n">
        <x:f>SUMIF('District Allocation'!$A$2:$A$508,A21,'District Allocation'!$K$2:$K$508)</x:f>
        <x:v>250</x:v>
      </x:c>
      <x:c r="F21" s="23" t="n">
        <x:f>E21-D21</x:f>
        <x:v>0</x:v>
      </x:c>
      <x:c r="G21" t="str">
        <x:f>IF(ABS(F21)&lt;0.000001,"OK","CHECK")</x:f>
        <x:v>OK</x:v>
      </x:c>
    </x:row>
    <x:row r="22">
      <x:c r="A22" t="n">
        <x:v>22</x:v>
      </x:c>
      <x:c r="B22" t="str">
        <x:f>'PlantInfo'!A22</x:f>
        <x:v>Coal</x:v>
      </x:c>
      <x:c r="C22" s="22" t="str">
        <x:f>'PlantInfo'!C22</x:f>
        <x:v>Neyveli (New) TPP /Neyveli Extension</x:v>
      </x:c>
      <x:c r="D22" s="23" t="n">
        <x:f>'PlantInfo'!G22</x:f>
        <x:v>500</x:v>
      </x:c>
      <x:c r="E22" s="23" t="n">
        <x:f>SUMIF('District Allocation'!$A$2:$A$508,A22,'District Allocation'!$K$2:$K$508)</x:f>
        <x:v>500</x:v>
      </x:c>
      <x:c r="F22" s="23" t="n">
        <x:f>E22-D22</x:f>
        <x:v>0</x:v>
      </x:c>
      <x:c r="G22" t="str">
        <x:f>IF(ABS(F22)&lt;0.000001,"OK","CHECK")</x:f>
        <x:v>OK</x:v>
      </x:c>
    </x:row>
    <x:row r="23">
      <x:c r="A23" t="n">
        <x:v>23</x:v>
      </x:c>
      <x:c r="B23" t="str">
        <x:f>'PlantInfo'!A23</x:f>
        <x:v>Coal</x:v>
      </x:c>
      <x:c r="C23" s="22" t="str">
        <x:f>'PlantInfo'!C23</x:f>
        <x:v>Neyveli (New) TPP /Neyveli Extension</x:v>
      </x:c>
      <x:c r="D23" s="23" t="n">
        <x:f>'PlantInfo'!G23</x:f>
        <x:v>500</x:v>
      </x:c>
      <x:c r="E23" s="23" t="n">
        <x:f>SUMIF('District Allocation'!$A$2:$A$508,A23,'District Allocation'!$K$2:$K$508)</x:f>
        <x:v>500</x:v>
      </x:c>
      <x:c r="F23" s="23" t="n">
        <x:f>E23-D23</x:f>
        <x:v>0</x:v>
      </x:c>
      <x:c r="G23" t="str">
        <x:f>IF(ABS(F23)&lt;0.000001,"OK","CHECK")</x:f>
        <x:v>OK</x:v>
      </x:c>
    </x:row>
    <x:row r="24">
      <x:c r="A24" t="n">
        <x:v>24</x:v>
      </x:c>
      <x:c r="B24" t="str">
        <x:f>'PlantInfo'!A24</x:f>
        <x:v>Coal</x:v>
      </x:c>
      <x:c r="C24" s="22" t="str">
        <x:f>'PlantInfo'!C24</x:f>
        <x:v>Neyveli TPS (Z)</x:v>
      </x:c>
      <x:c r="D24" s="23" t="n">
        <x:f>'PlantInfo'!G24</x:f>
        <x:v>250</x:v>
      </x:c>
      <x:c r="E24" s="23" t="n">
        <x:f>SUMIF('District Allocation'!$A$2:$A$508,A24,'District Allocation'!$K$2:$K$508)</x:f>
        <x:v>250</x:v>
      </x:c>
      <x:c r="F24" s="23" t="n">
        <x:f>E24-D24</x:f>
        <x:v>0</x:v>
      </x:c>
      <x:c r="G24" t="str">
        <x:f>IF(ABS(F24)&lt;0.000001,"OK","CHECK")</x:f>
        <x:v>OK</x:v>
      </x:c>
    </x:row>
    <x:row r="25">
      <x:c r="A25" t="n">
        <x:v>25</x:v>
      </x:c>
      <x:c r="B25" t="str">
        <x:f>'PlantInfo'!A25</x:f>
        <x:v>Coal</x:v>
      </x:c>
      <x:c r="C25" s="22" t="str">
        <x:f>'PlantInfo'!C25</x:f>
        <x:v>Neyveli TPS I</x:v>
      </x:c>
      <x:c r="D25" s="23" t="n">
        <x:f>'PlantInfo'!G25</x:f>
        <x:v>50</x:v>
      </x:c>
      <x:c r="E25" s="23" t="n">
        <x:f>SUMIF('District Allocation'!$A$2:$A$508,A25,'District Allocation'!$K$2:$K$508)</x:f>
        <x:v>50</x:v>
      </x:c>
      <x:c r="F25" s="23" t="n">
        <x:f>E25-D25</x:f>
        <x:v>0</x:v>
      </x:c>
      <x:c r="G25" t="str">
        <x:f>IF(ABS(F25)&lt;0.000001,"OK","CHECK")</x:f>
        <x:v>OK</x:v>
      </x:c>
    </x:row>
    <x:row r="26">
      <x:c r="A26" t="n">
        <x:v>26</x:v>
      </x:c>
      <x:c r="B26" t="str">
        <x:f>'PlantInfo'!A26</x:f>
        <x:v>Coal</x:v>
      </x:c>
      <x:c r="C26" s="22" t="str">
        <x:f>'PlantInfo'!C26</x:f>
        <x:v>Neyveli TPS I</x:v>
      </x:c>
      <x:c r="D26" s="23" t="n">
        <x:f>'PlantInfo'!G26</x:f>
        <x:v>50</x:v>
      </x:c>
      <x:c r="E26" s="23" t="n">
        <x:f>SUMIF('District Allocation'!$A$2:$A$508,A26,'District Allocation'!$K$2:$K$508)</x:f>
        <x:v>50</x:v>
      </x:c>
      <x:c r="F26" s="23" t="n">
        <x:f>E26-D26</x:f>
        <x:v>0</x:v>
      </x:c>
      <x:c r="G26" t="str">
        <x:f>IF(ABS(F26)&lt;0.000001,"OK","CHECK")</x:f>
        <x:v>OK</x:v>
      </x:c>
    </x:row>
    <x:row r="27">
      <x:c r="A27" t="n">
        <x:v>27</x:v>
      </x:c>
      <x:c r="B27" t="str">
        <x:f>'PlantInfo'!A27</x:f>
        <x:v>Coal</x:v>
      </x:c>
      <x:c r="C27" s="22" t="str">
        <x:f>'PlantInfo'!C27</x:f>
        <x:v>Neyveli TPS I</x:v>
      </x:c>
      <x:c r="D27" s="23" t="n">
        <x:f>'PlantInfo'!G27</x:f>
        <x:v>50</x:v>
      </x:c>
      <x:c r="E27" s="23" t="n">
        <x:f>SUMIF('District Allocation'!$A$2:$A$508,A27,'District Allocation'!$K$2:$K$508)</x:f>
        <x:v>50</x:v>
      </x:c>
      <x:c r="F27" s="23" t="n">
        <x:f>E27-D27</x:f>
        <x:v>0</x:v>
      </x:c>
      <x:c r="G27" t="str">
        <x:f>IF(ABS(F27)&lt;0.000001,"OK","CHECK")</x:f>
        <x:v>OK</x:v>
      </x:c>
    </x:row>
    <x:row r="28">
      <x:c r="A28" t="n">
        <x:v>28</x:v>
      </x:c>
      <x:c r="B28" t="str">
        <x:f>'PlantInfo'!A28</x:f>
        <x:v>Coal</x:v>
      </x:c>
      <x:c r="C28" s="22" t="str">
        <x:f>'PlantInfo'!C28</x:f>
        <x:v>Neyveli TPS I</x:v>
      </x:c>
      <x:c r="D28" s="23" t="n">
        <x:f>'PlantInfo'!G28</x:f>
        <x:v>50</x:v>
      </x:c>
      <x:c r="E28" s="23" t="n">
        <x:f>SUMIF('District Allocation'!$A$2:$A$508,A28,'District Allocation'!$K$2:$K$508)</x:f>
        <x:v>50</x:v>
      </x:c>
      <x:c r="F28" s="23" t="n">
        <x:f>E28-D28</x:f>
        <x:v>0</x:v>
      </x:c>
      <x:c r="G28" t="str">
        <x:f>IF(ABS(F28)&lt;0.000001,"OK","CHECK")</x:f>
        <x:v>OK</x:v>
      </x:c>
    </x:row>
    <x:row r="29">
      <x:c r="A29" t="n">
        <x:v>29</x:v>
      </x:c>
      <x:c r="B29" t="str">
        <x:f>'PlantInfo'!A29</x:f>
        <x:v>Coal</x:v>
      </x:c>
      <x:c r="C29" s="22" t="str">
        <x:f>'PlantInfo'!C29</x:f>
        <x:v>Neyveli TPS I</x:v>
      </x:c>
      <x:c r="D29" s="23" t="n">
        <x:f>'PlantInfo'!G29</x:f>
        <x:v>50</x:v>
      </x:c>
      <x:c r="E29" s="23" t="n">
        <x:f>SUMIF('District Allocation'!$A$2:$A$508,A29,'District Allocation'!$K$2:$K$508)</x:f>
        <x:v>50</x:v>
      </x:c>
      <x:c r="F29" s="23" t="n">
        <x:f>E29-D29</x:f>
        <x:v>0</x:v>
      </x:c>
      <x:c r="G29" t="str">
        <x:f>IF(ABS(F29)&lt;0.000001,"OK","CHECK")</x:f>
        <x:v>OK</x:v>
      </x:c>
    </x:row>
    <x:row r="30">
      <x:c r="A30" t="n">
        <x:v>30</x:v>
      </x:c>
      <x:c r="B30" t="str">
        <x:f>'PlantInfo'!A30</x:f>
        <x:v>Coal</x:v>
      </x:c>
      <x:c r="C30" s="22" t="str">
        <x:f>'PlantInfo'!C30</x:f>
        <x:v>Neyveli TPS I</x:v>
      </x:c>
      <x:c r="D30" s="23" t="n">
        <x:f>'PlantInfo'!G30</x:f>
        <x:v>50</x:v>
      </x:c>
      <x:c r="E30" s="23" t="n">
        <x:f>SUMIF('District Allocation'!$A$2:$A$508,A30,'District Allocation'!$K$2:$K$508)</x:f>
        <x:v>50</x:v>
      </x:c>
      <x:c r="F30" s="23" t="n">
        <x:f>E30-D30</x:f>
        <x:v>0</x:v>
      </x:c>
      <x:c r="G30" t="str">
        <x:f>IF(ABS(F30)&lt;0.000001,"OK","CHECK")</x:f>
        <x:v>OK</x:v>
      </x:c>
    </x:row>
    <x:row r="31">
      <x:c r="A31" t="n">
        <x:v>31</x:v>
      </x:c>
      <x:c r="B31" t="str">
        <x:f>'PlantInfo'!A31</x:f>
        <x:v>Coal</x:v>
      </x:c>
      <x:c r="C31" s="22" t="str">
        <x:f>'PlantInfo'!C31</x:f>
        <x:v>Neyveli TPS I</x:v>
      </x:c>
      <x:c r="D31" s="23" t="n">
        <x:f>'PlantInfo'!G31</x:f>
        <x:v>100</x:v>
      </x:c>
      <x:c r="E31" s="23" t="n">
        <x:f>SUMIF('District Allocation'!$A$2:$A$508,A31,'District Allocation'!$K$2:$K$508)</x:f>
        <x:v>100</x:v>
      </x:c>
      <x:c r="F31" s="23" t="n">
        <x:f>E31-D31</x:f>
        <x:v>0</x:v>
      </x:c>
      <x:c r="G31" t="str">
        <x:f>IF(ABS(F31)&lt;0.000001,"OK","CHECK")</x:f>
        <x:v>OK</x:v>
      </x:c>
    </x:row>
    <x:row r="32">
      <x:c r="A32" t="n">
        <x:v>32</x:v>
      </x:c>
      <x:c r="B32" t="str">
        <x:f>'PlantInfo'!A32</x:f>
        <x:v>Coal</x:v>
      </x:c>
      <x:c r="C32" s="22" t="str">
        <x:f>'PlantInfo'!C32</x:f>
        <x:v>Neyveli TPS I</x:v>
      </x:c>
      <x:c r="D32" s="23" t="n">
        <x:f>'PlantInfo'!G32</x:f>
        <x:v>100</x:v>
      </x:c>
      <x:c r="E32" s="23" t="n">
        <x:f>SUMIF('District Allocation'!$A$2:$A$508,A32,'District Allocation'!$K$2:$K$508)</x:f>
        <x:v>100</x:v>
      </x:c>
      <x:c r="F32" s="23" t="n">
        <x:f>E32-D32</x:f>
        <x:v>0</x:v>
      </x:c>
      <x:c r="G32" t="str">
        <x:f>IF(ABS(F32)&lt;0.000001,"OK","CHECK")</x:f>
        <x:v>OK</x:v>
      </x:c>
    </x:row>
    <x:row r="33">
      <x:c r="A33" t="n">
        <x:v>33</x:v>
      </x:c>
      <x:c r="B33" t="str">
        <x:f>'PlantInfo'!A33</x:f>
        <x:v>Coal</x:v>
      </x:c>
      <x:c r="C33" s="22" t="str">
        <x:f>'PlantInfo'!C33</x:f>
        <x:v>Neyveli TPS I</x:v>
      </x:c>
      <x:c r="D33" s="23" t="n">
        <x:f>'PlantInfo'!G33</x:f>
        <x:v>100</x:v>
      </x:c>
      <x:c r="E33" s="23" t="n">
        <x:f>SUMIF('District Allocation'!$A$2:$A$508,A33,'District Allocation'!$K$2:$K$508)</x:f>
        <x:v>100</x:v>
      </x:c>
      <x:c r="F33" s="23" t="n">
        <x:f>E33-D33</x:f>
        <x:v>0</x:v>
      </x:c>
      <x:c r="G33" t="str">
        <x:f>IF(ABS(F33)&lt;0.000001,"OK","CHECK")</x:f>
        <x:v>OK</x:v>
      </x:c>
    </x:row>
    <x:row r="34">
      <x:c r="A34" t="n">
        <x:v>34</x:v>
      </x:c>
      <x:c r="B34" t="str">
        <x:f>'PlantInfo'!A34</x:f>
        <x:v>Coal</x:v>
      </x:c>
      <x:c r="C34" s="22" t="str">
        <x:f>'PlantInfo'!C34</x:f>
        <x:v>Neyveli TPS II</x:v>
      </x:c>
      <x:c r="D34" s="23" t="n">
        <x:f>'PlantInfo'!G34</x:f>
        <x:v>210</x:v>
      </x:c>
      <x:c r="E34" s="23" t="n">
        <x:f>SUMIF('District Allocation'!$A$2:$A$508,A34,'District Allocation'!$K$2:$K$508)</x:f>
        <x:v>210</x:v>
      </x:c>
      <x:c r="F34" s="23" t="n">
        <x:f>E34-D34</x:f>
        <x:v>0</x:v>
      </x:c>
      <x:c r="G34" t="str">
        <x:f>IF(ABS(F34)&lt;0.000001,"OK","CHECK")</x:f>
        <x:v>OK</x:v>
      </x:c>
    </x:row>
    <x:row r="35">
      <x:c r="A35" t="n">
        <x:v>35</x:v>
      </x:c>
      <x:c r="B35" t="str">
        <x:f>'PlantInfo'!A35</x:f>
        <x:v>Coal</x:v>
      </x:c>
      <x:c r="C35" s="22" t="str">
        <x:f>'PlantInfo'!C35</x:f>
        <x:v>Neyveli TPS II</x:v>
      </x:c>
      <x:c r="D35" s="23" t="n">
        <x:f>'PlantInfo'!G35</x:f>
        <x:v>210</x:v>
      </x:c>
      <x:c r="E35" s="23" t="n">
        <x:f>SUMIF('District Allocation'!$A$2:$A$508,A35,'District Allocation'!$K$2:$K$508)</x:f>
        <x:v>210</x:v>
      </x:c>
      <x:c r="F35" s="23" t="n">
        <x:f>E35-D35</x:f>
        <x:v>0</x:v>
      </x:c>
      <x:c r="G35" t="str">
        <x:f>IF(ABS(F35)&lt;0.000001,"OK","CHECK")</x:f>
        <x:v>OK</x:v>
      </x:c>
    </x:row>
    <x:row r="36">
      <x:c r="A36" t="n">
        <x:v>36</x:v>
      </x:c>
      <x:c r="B36" t="str">
        <x:f>'PlantInfo'!A36</x:f>
        <x:v>Coal</x:v>
      </x:c>
      <x:c r="C36" s="22" t="str">
        <x:f>'PlantInfo'!C36</x:f>
        <x:v>Neyveli TPS II</x:v>
      </x:c>
      <x:c r="D36" s="23" t="n">
        <x:f>'PlantInfo'!G36</x:f>
        <x:v>210</x:v>
      </x:c>
      <x:c r="E36" s="23" t="n">
        <x:f>SUMIF('District Allocation'!$A$2:$A$508,A36,'District Allocation'!$K$2:$K$508)</x:f>
        <x:v>210</x:v>
      </x:c>
      <x:c r="F36" s="23" t="n">
        <x:f>E36-D36</x:f>
        <x:v>0</x:v>
      </x:c>
      <x:c r="G36" t="str">
        <x:f>IF(ABS(F36)&lt;0.000001,"OK","CHECK")</x:f>
        <x:v>OK</x:v>
      </x:c>
    </x:row>
    <x:row r="37">
      <x:c r="A37" t="n">
        <x:v>37</x:v>
      </x:c>
      <x:c r="B37" t="str">
        <x:f>'PlantInfo'!A37</x:f>
        <x:v>Coal</x:v>
      </x:c>
      <x:c r="C37" s="22" t="str">
        <x:f>'PlantInfo'!C37</x:f>
        <x:v>Neyveli TPS II</x:v>
      </x:c>
      <x:c r="D37" s="23" t="n">
        <x:f>'PlantInfo'!G37</x:f>
        <x:v>210</x:v>
      </x:c>
      <x:c r="E37" s="23" t="n">
        <x:f>SUMIF('District Allocation'!$A$2:$A$508,A37,'District Allocation'!$K$2:$K$508)</x:f>
        <x:v>210</x:v>
      </x:c>
      <x:c r="F37" s="23" t="n">
        <x:f>E37-D37</x:f>
        <x:v>0</x:v>
      </x:c>
      <x:c r="G37" t="str">
        <x:f>IF(ABS(F37)&lt;0.000001,"OK","CHECK")</x:f>
        <x:v>OK</x:v>
      </x:c>
    </x:row>
    <x:row r="38">
      <x:c r="A38" t="n">
        <x:v>38</x:v>
      </x:c>
      <x:c r="B38" t="str">
        <x:f>'PlantInfo'!A38</x:f>
        <x:v>Coal</x:v>
      </x:c>
      <x:c r="C38" s="22" t="str">
        <x:f>'PlantInfo'!C38</x:f>
        <x:v>Neyveli TPS II</x:v>
      </x:c>
      <x:c r="D38" s="23" t="n">
        <x:f>'PlantInfo'!G38</x:f>
        <x:v>210</x:v>
      </x:c>
      <x:c r="E38" s="23" t="n">
        <x:f>SUMIF('District Allocation'!$A$2:$A$508,A38,'District Allocation'!$K$2:$K$508)</x:f>
        <x:v>210</x:v>
      </x:c>
      <x:c r="F38" s="23" t="n">
        <x:f>E38-D38</x:f>
        <x:v>0</x:v>
      </x:c>
      <x:c r="G38" t="str">
        <x:f>IF(ABS(F38)&lt;0.000001,"OK","CHECK")</x:f>
        <x:v>OK</x:v>
      </x:c>
    </x:row>
    <x:row r="39">
      <x:c r="A39" t="n">
        <x:v>39</x:v>
      </x:c>
      <x:c r="B39" t="str">
        <x:f>'PlantInfo'!A39</x:f>
        <x:v>Coal</x:v>
      </x:c>
      <x:c r="C39" s="22" t="str">
        <x:f>'PlantInfo'!C39</x:f>
        <x:v>Neyveli TPS II</x:v>
      </x:c>
      <x:c r="D39" s="23" t="n">
        <x:f>'PlantInfo'!G39</x:f>
        <x:v>210</x:v>
      </x:c>
      <x:c r="E39" s="23" t="n">
        <x:f>SUMIF('District Allocation'!$A$2:$A$508,A39,'District Allocation'!$K$2:$K$508)</x:f>
        <x:v>210</x:v>
      </x:c>
      <x:c r="F39" s="23" t="n">
        <x:f>E39-D39</x:f>
        <x:v>0</x:v>
      </x:c>
      <x:c r="G39" t="str">
        <x:f>IF(ABS(F39)&lt;0.000001,"OK","CHECK")</x:f>
        <x:v>OK</x:v>
      </x:c>
    </x:row>
    <x:row r="40">
      <x:c r="A40" t="n">
        <x:v>40</x:v>
      </x:c>
      <x:c r="B40" t="str">
        <x:f>'PlantInfo'!A40</x:f>
        <x:v>Coal</x:v>
      </x:c>
      <x:c r="C40" s="22" t="str">
        <x:f>'PlantInfo'!C40</x:f>
        <x:v>Neyveli TPS II</x:v>
      </x:c>
      <x:c r="D40" s="23" t="n">
        <x:f>'PlantInfo'!G40</x:f>
        <x:v>210</x:v>
      </x:c>
      <x:c r="E40" s="23" t="n">
        <x:f>SUMIF('District Allocation'!$A$2:$A$508,A40,'District Allocation'!$K$2:$K$508)</x:f>
        <x:v>210</x:v>
      </x:c>
      <x:c r="F40" s="23" t="n">
        <x:f>E40-D40</x:f>
        <x:v>0</x:v>
      </x:c>
      <x:c r="G40" t="str">
        <x:f>IF(ABS(F40)&lt;0.000001,"OK","CHECK")</x:f>
        <x:v>OK</x:v>
      </x:c>
    </x:row>
    <x:row r="41">
      <x:c r="A41" t="n">
        <x:v>41</x:v>
      </x:c>
      <x:c r="B41" t="str">
        <x:f>'PlantInfo'!A41</x:f>
        <x:v>Coal</x:v>
      </x:c>
      <x:c r="C41" s="22" t="str">
        <x:f>'PlantInfo'!C41</x:f>
        <x:v>North Chennai TPS</x:v>
      </x:c>
      <x:c r="D41" s="23" t="n">
        <x:f>'PlantInfo'!G41</x:f>
        <x:v>210</x:v>
      </x:c>
      <x:c r="E41" s="23" t="n">
        <x:f>SUMIF('District Allocation'!$A$2:$A$508,A41,'District Allocation'!$K$2:$K$508)</x:f>
        <x:v>210</x:v>
      </x:c>
      <x:c r="F41" s="23" t="n">
        <x:f>E41-D41</x:f>
        <x:v>0</x:v>
      </x:c>
      <x:c r="G41" t="str">
        <x:f>IF(ABS(F41)&lt;0.000001,"OK","CHECK")</x:f>
        <x:v>OK</x:v>
      </x:c>
    </x:row>
    <x:row r="42">
      <x:c r="A42" t="n">
        <x:v>42</x:v>
      </x:c>
      <x:c r="B42" t="str">
        <x:f>'PlantInfo'!A42</x:f>
        <x:v>Coal</x:v>
      </x:c>
      <x:c r="C42" s="22" t="str">
        <x:f>'PlantInfo'!C42</x:f>
        <x:v>North Chennai TPS</x:v>
      </x:c>
      <x:c r="D42" s="23" t="n">
        <x:f>'PlantInfo'!G42</x:f>
        <x:v>210</x:v>
      </x:c>
      <x:c r="E42" s="23" t="n">
        <x:f>SUMIF('District Allocation'!$A$2:$A$508,A42,'District Allocation'!$K$2:$K$508)</x:f>
        <x:v>210</x:v>
      </x:c>
      <x:c r="F42" s="23" t="n">
        <x:f>E42-D42</x:f>
        <x:v>0</x:v>
      </x:c>
      <x:c r="G42" t="str">
        <x:f>IF(ABS(F42)&lt;0.000001,"OK","CHECK")</x:f>
        <x:v>OK</x:v>
      </x:c>
    </x:row>
    <x:row r="43">
      <x:c r="A43" t="n">
        <x:v>43</x:v>
      </x:c>
      <x:c r="B43" t="str">
        <x:f>'PlantInfo'!A43</x:f>
        <x:v>Coal</x:v>
      </x:c>
      <x:c r="C43" s="22" t="str">
        <x:f>'PlantInfo'!C43</x:f>
        <x:v>North Chennai TPS</x:v>
      </x:c>
      <x:c r="D43" s="23" t="n">
        <x:f>'PlantInfo'!G43</x:f>
        <x:v>210</x:v>
      </x:c>
      <x:c r="E43" s="23" t="n">
        <x:f>SUMIF('District Allocation'!$A$2:$A$508,A43,'District Allocation'!$K$2:$K$508)</x:f>
        <x:v>210</x:v>
      </x:c>
      <x:c r="F43" s="23" t="n">
        <x:f>E43-D43</x:f>
        <x:v>0</x:v>
      </x:c>
      <x:c r="G43" t="str">
        <x:f>IF(ABS(F43)&lt;0.000001,"OK","CHECK")</x:f>
        <x:v>OK</x:v>
      </x:c>
    </x:row>
    <x:row r="44">
      <x:c r="A44" t="n">
        <x:v>44</x:v>
      </x:c>
      <x:c r="B44" t="str">
        <x:f>'PlantInfo'!A44</x:f>
        <x:v>Coal</x:v>
      </x:c>
      <x:c r="C44" s="22" t="str">
        <x:f>'PlantInfo'!C44</x:f>
        <x:v>North Chennai TPS</x:v>
      </x:c>
      <x:c r="D44" s="23" t="n">
        <x:f>'PlantInfo'!G44</x:f>
        <x:v>600</x:v>
      </x:c>
      <x:c r="E44" s="23" t="n">
        <x:f>SUMIF('District Allocation'!$A$2:$A$508,A44,'District Allocation'!$K$2:$K$508)</x:f>
        <x:v>600</x:v>
      </x:c>
      <x:c r="F44" s="23" t="n">
        <x:f>E44-D44</x:f>
        <x:v>0</x:v>
      </x:c>
      <x:c r="G44" t="str">
        <x:f>IF(ABS(F44)&lt;0.000001,"OK","CHECK")</x:f>
        <x:v>OK</x:v>
      </x:c>
    </x:row>
    <x:row r="45">
      <x:c r="A45" t="n">
        <x:v>45</x:v>
      </x:c>
      <x:c r="B45" t="str">
        <x:f>'PlantInfo'!A45</x:f>
        <x:v>Coal</x:v>
      </x:c>
      <x:c r="C45" s="22" t="str">
        <x:f>'PlantInfo'!C45</x:f>
        <x:v>North Chennai TPS</x:v>
      </x:c>
      <x:c r="D45" s="23" t="n">
        <x:f>'PlantInfo'!G45</x:f>
        <x:v>600</x:v>
      </x:c>
      <x:c r="E45" s="23" t="n">
        <x:f>SUMIF('District Allocation'!$A$2:$A$508,A45,'District Allocation'!$K$2:$K$508)</x:f>
        <x:v>600</x:v>
      </x:c>
      <x:c r="F45" s="23" t="n">
        <x:f>E45-D45</x:f>
        <x:v>0</x:v>
      </x:c>
      <x:c r="G45" t="str">
        <x:f>IF(ABS(F45)&lt;0.000001,"OK","CHECK")</x:f>
        <x:v>OK</x:v>
      </x:c>
    </x:row>
    <x:row r="46">
      <x:c r="A46" t="n">
        <x:v>46</x:v>
      </x:c>
      <x:c r="B46" t="str">
        <x:f>'PlantInfo'!A46</x:f>
        <x:v>Coal</x:v>
      </x:c>
      <x:c r="C46" s="22" t="str">
        <x:f>'PlantInfo'!C46</x:f>
        <x:v>North Chennai TPS</x:v>
      </x:c>
      <x:c r="D46" s="23" t="n">
        <x:f>'PlantInfo'!G46</x:f>
        <x:v>800</x:v>
      </x:c>
      <x:c r="E46" s="23" t="n">
        <x:f>SUMIF('District Allocation'!$A$2:$A$508,A46,'District Allocation'!$K$2:$K$508)</x:f>
        <x:v>800</x:v>
      </x:c>
      <x:c r="F46" s="23" t="n">
        <x:f>E46-D46</x:f>
        <x:v>0</x:v>
      </x:c>
      <x:c r="G46" t="str">
        <x:f>IF(ABS(F46)&lt;0.000001,"OK","CHECK")</x:f>
        <x:v>OK</x:v>
      </x:c>
    </x:row>
    <x:row r="47">
      <x:c r="A47" t="n">
        <x:v>47</x:v>
      </x:c>
      <x:c r="B47" t="str">
        <x:f>'PlantInfo'!A47</x:f>
        <x:v>Coal</x:v>
      </x:c>
      <x:c r="C47" s="22" t="str">
        <x:f>'PlantInfo'!C47</x:f>
        <x:v>OPG Power Generation Private Ltd.</x:v>
      </x:c>
      <x:c r="D47" s="23" t="n">
        <x:f>'PlantInfo'!G47</x:f>
        <x:v>77</x:v>
      </x:c>
      <x:c r="E47" s="23" t="n">
        <x:f>SUMIF('District Allocation'!$A$2:$A$508,A47,'District Allocation'!$K$2:$K$508)</x:f>
        <x:v>77</x:v>
      </x:c>
      <x:c r="F47" s="23" t="n">
        <x:f>E47-D47</x:f>
        <x:v>0</x:v>
      </x:c>
      <x:c r="G47" t="str">
        <x:f>IF(ABS(F47)&lt;0.000001,"OK","CHECK")</x:f>
        <x:v>OK</x:v>
      </x:c>
    </x:row>
    <x:row r="48">
      <x:c r="A48" t="n">
        <x:v>48</x:v>
      </x:c>
      <x:c r="B48" t="str">
        <x:f>'PlantInfo'!A48</x:f>
        <x:v>Coal</x:v>
      </x:c>
      <x:c r="C48" s="22" t="str">
        <x:f>'PlantInfo'!C48</x:f>
        <x:v>OPG Power Generation Private Ltd.</x:v>
      </x:c>
      <x:c r="D48" s="23" t="n">
        <x:f>'PlantInfo'!G48</x:f>
        <x:v>77</x:v>
      </x:c>
      <x:c r="E48" s="23" t="n">
        <x:f>SUMIF('District Allocation'!$A$2:$A$508,A48,'District Allocation'!$K$2:$K$508)</x:f>
        <x:v>77</x:v>
      </x:c>
      <x:c r="F48" s="23" t="n">
        <x:f>E48-D48</x:f>
        <x:v>0</x:v>
      </x:c>
      <x:c r="G48" t="str">
        <x:f>IF(ABS(F48)&lt;0.000001,"OK","CHECK")</x:f>
        <x:v>OK</x:v>
      </x:c>
    </x:row>
    <x:row r="49">
      <x:c r="A49" t="n">
        <x:v>49</x:v>
      </x:c>
      <x:c r="B49" t="str">
        <x:f>'PlantInfo'!A49</x:f>
        <x:v>Coal</x:v>
      </x:c>
      <x:c r="C49" s="22" t="str">
        <x:f>'PlantInfo'!C49</x:f>
        <x:v>OPG Power Generation Private Ltd.</x:v>
      </x:c>
      <x:c r="D49" s="23" t="n">
        <x:f>'PlantInfo'!G49</x:f>
        <x:v>80</x:v>
      </x:c>
      <x:c r="E49" s="23" t="n">
        <x:f>SUMIF('District Allocation'!$A$2:$A$508,A49,'District Allocation'!$K$2:$K$508)</x:f>
        <x:v>80</x:v>
      </x:c>
      <x:c r="F49" s="23" t="n">
        <x:f>E49-D49</x:f>
        <x:v>0</x:v>
      </x:c>
      <x:c r="G49" t="str">
        <x:f>IF(ABS(F49)&lt;0.000001,"OK","CHECK")</x:f>
        <x:v>OK</x:v>
      </x:c>
    </x:row>
    <x:row r="50">
      <x:c r="A50" t="n">
        <x:v>50</x:v>
      </x:c>
      <x:c r="B50" t="str">
        <x:f>'PlantInfo'!A50</x:f>
        <x:v>Coal</x:v>
      </x:c>
      <x:c r="C50" s="22" t="str">
        <x:f>'PlantInfo'!C50</x:f>
        <x:v>OPG Power Generation Private Ltd.</x:v>
      </x:c>
      <x:c r="D50" s="23" t="n">
        <x:f>'PlantInfo'!G50</x:f>
        <x:v>180</x:v>
      </x:c>
      <x:c r="E50" s="23" t="n">
        <x:f>SUMIF('District Allocation'!$A$2:$A$508,A50,'District Allocation'!$K$2:$K$508)</x:f>
        <x:v>180</x:v>
      </x:c>
      <x:c r="F50" s="23" t="n">
        <x:f>E50-D50</x:f>
        <x:v>0</x:v>
      </x:c>
      <x:c r="G50" t="str">
        <x:f>IF(ABS(F50)&lt;0.000001,"OK","CHECK")</x:f>
        <x:v>OK</x:v>
      </x:c>
    </x:row>
    <x:row r="51">
      <x:c r="A51" t="n">
        <x:v>51</x:v>
      </x:c>
      <x:c r="B51" t="str">
        <x:f>'PlantInfo'!A51</x:f>
        <x:v>Coal</x:v>
      </x:c>
      <x:c r="C51" s="22" t="str">
        <x:f>'PlantInfo'!C51</x:f>
        <x:v>TCP Limited</x:v>
      </x:c>
      <x:c r="D51" s="23" t="n">
        <x:f>'PlantInfo'!G51</x:f>
        <x:v>63.5</x:v>
      </x:c>
      <x:c r="E51" s="23" t="n">
        <x:f>SUMIF('District Allocation'!$A$2:$A$508,A51,'District Allocation'!$K$2:$K$508)</x:f>
        <x:v>63.5</x:v>
      </x:c>
      <x:c r="F51" s="23" t="n">
        <x:f>E51-D51</x:f>
        <x:v>0</x:v>
      </x:c>
      <x:c r="G51" t="str">
        <x:f>IF(ABS(F51)&lt;0.000001,"OK","CHECK")</x:f>
        <x:v>OK</x:v>
      </x:c>
    </x:row>
    <x:row r="52">
      <x:c r="A52" t="n">
        <x:v>52</x:v>
      </x:c>
      <x:c r="B52" t="str">
        <x:f>'PlantInfo'!A52</x:f>
        <x:v>Coal</x:v>
      </x:c>
      <x:c r="C52" s="22" t="str">
        <x:f>'PlantInfo'!C52</x:f>
        <x:v>Tulsyan NEC Limited</x:v>
      </x:c>
      <x:c r="D52" s="23" t="n">
        <x:f>'PlantInfo'!G52</x:f>
        <x:v>35</x:v>
      </x:c>
      <x:c r="E52" s="23" t="n">
        <x:f>SUMIF('District Allocation'!$A$2:$A$508,A52,'District Allocation'!$K$2:$K$508)</x:f>
        <x:v>35</x:v>
      </x:c>
      <x:c r="F52" s="23" t="n">
        <x:f>E52-D52</x:f>
        <x:v>0</x:v>
      </x:c>
      <x:c r="G52" t="str">
        <x:f>IF(ABS(F52)&lt;0.000001,"OK","CHECK")</x:f>
        <x:v>OK</x:v>
      </x:c>
    </x:row>
    <x:row r="53">
      <x:c r="A53" t="n">
        <x:v>53</x:v>
      </x:c>
      <x:c r="B53" t="str">
        <x:f>'PlantInfo'!A53</x:f>
        <x:v>Coal</x:v>
      </x:c>
      <x:c r="C53" s="22" t="str">
        <x:f>'PlantInfo'!C53</x:f>
        <x:v>Tulsyan NEC Limited</x:v>
      </x:c>
      <x:c r="D53" s="23" t="n">
        <x:f>'PlantInfo'!G53</x:f>
        <x:v>35</x:v>
      </x:c>
      <x:c r="E53" s="23" t="n">
        <x:f>SUMIF('District Allocation'!$A$2:$A$508,A53,'District Allocation'!$K$2:$K$508)</x:f>
        <x:v>35</x:v>
      </x:c>
      <x:c r="F53" s="23" t="n">
        <x:f>E53-D53</x:f>
        <x:v>0</x:v>
      </x:c>
      <x:c r="G53" t="str">
        <x:f>IF(ABS(F53)&lt;0.000001,"OK","CHECK")</x:f>
        <x:v>OK</x:v>
      </x:c>
    </x:row>
    <x:row r="54">
      <x:c r="A54" t="n">
        <x:v>54</x:v>
      </x:c>
      <x:c r="B54" t="str">
        <x:f>'PlantInfo'!A54</x:f>
        <x:v>Coal</x:v>
      </x:c>
      <x:c r="C54" s="22" t="str">
        <x:f>'PlantInfo'!C54</x:f>
        <x:v>Tuticorin (P) TPP</x:v>
      </x:c>
      <x:c r="D54" s="23" t="n">
        <x:f>'PlantInfo'!G54</x:f>
        <x:v>150</x:v>
      </x:c>
      <x:c r="E54" s="23" t="n">
        <x:f>SUMIF('District Allocation'!$A$2:$A$508,A54,'District Allocation'!$K$2:$K$508)</x:f>
        <x:v>150</x:v>
      </x:c>
      <x:c r="F54" s="23" t="n">
        <x:f>E54-D54</x:f>
        <x:v>0</x:v>
      </x:c>
      <x:c r="G54" t="str">
        <x:f>IF(ABS(F54)&lt;0.000001,"OK","CHECK")</x:f>
        <x:v>OK</x:v>
      </x:c>
    </x:row>
    <x:row r="55">
      <x:c r="A55" t="n">
        <x:v>55</x:v>
      </x:c>
      <x:c r="B55" t="str">
        <x:f>'PlantInfo'!A55</x:f>
        <x:v>Coal</x:v>
      </x:c>
      <x:c r="C55" s="22" t="str">
        <x:f>'PlantInfo'!C55</x:f>
        <x:v>Tuticorin (P) TPP</x:v>
      </x:c>
      <x:c r="D55" s="23" t="n">
        <x:f>'PlantInfo'!G55</x:f>
        <x:v>150</x:v>
      </x:c>
      <x:c r="E55" s="23" t="n">
        <x:f>SUMIF('District Allocation'!$A$2:$A$508,A55,'District Allocation'!$K$2:$K$508)</x:f>
        <x:v>150</x:v>
      </x:c>
      <x:c r="F55" s="23" t="n">
        <x:f>E55-D55</x:f>
        <x:v>0</x:v>
      </x:c>
      <x:c r="G55" t="str">
        <x:f>IF(ABS(F55)&lt;0.000001,"OK","CHECK")</x:f>
        <x:v>OK</x:v>
      </x:c>
    </x:row>
    <x:row r="56">
      <x:c r="A56" t="n">
        <x:v>56</x:v>
      </x:c>
      <x:c r="B56" t="str">
        <x:f>'PlantInfo'!A56</x:f>
        <x:v>Coal</x:v>
      </x:c>
      <x:c r="C56" s="22" t="str">
        <x:f>'PlantInfo'!C56</x:f>
        <x:v>Tuticorin (P) TPP</x:v>
      </x:c>
      <x:c r="D56" s="23" t="n">
        <x:f>'PlantInfo'!G56</x:f>
        <x:v>660</x:v>
      </x:c>
      <x:c r="E56" s="23" t="n">
        <x:f>SUMIF('District Allocation'!$A$2:$A$508,A56,'District Allocation'!$K$2:$K$508)</x:f>
        <x:v>660</x:v>
      </x:c>
      <x:c r="F56" s="23" t="n">
        <x:f>E56-D56</x:f>
        <x:v>0</x:v>
      </x:c>
      <x:c r="G56" t="str">
        <x:f>IF(ABS(F56)&lt;0.000001,"OK","CHECK")</x:f>
        <x:v>OK</x:v>
      </x:c>
    </x:row>
    <x:row r="57">
      <x:c r="A57" t="n">
        <x:v>57</x:v>
      </x:c>
      <x:c r="B57" t="str">
        <x:f>'PlantInfo'!A57</x:f>
        <x:v>Coal</x:v>
      </x:c>
      <x:c r="C57" s="22" t="str">
        <x:f>'PlantInfo'!C57</x:f>
        <x:v>Tuticorin Joint Venture</x:v>
      </x:c>
      <x:c r="D57" s="23" t="n">
        <x:f>'PlantInfo'!G57</x:f>
        <x:v>500</x:v>
      </x:c>
      <x:c r="E57" s="23" t="n">
        <x:f>SUMIF('District Allocation'!$A$2:$A$508,A57,'District Allocation'!$K$2:$K$508)</x:f>
        <x:v>500</x:v>
      </x:c>
      <x:c r="F57" s="23" t="n">
        <x:f>E57-D57</x:f>
        <x:v>0</x:v>
      </x:c>
      <x:c r="G57" t="str">
        <x:f>IF(ABS(F57)&lt;0.000001,"OK","CHECK")</x:f>
        <x:v>OK</x:v>
      </x:c>
    </x:row>
    <x:row r="58">
      <x:c r="A58" t="n">
        <x:v>58</x:v>
      </x:c>
      <x:c r="B58" t="str">
        <x:f>'PlantInfo'!A58</x:f>
        <x:v>Coal</x:v>
      </x:c>
      <x:c r="C58" s="22" t="str">
        <x:f>'PlantInfo'!C58</x:f>
        <x:v>Tuticorin Joint Venture</x:v>
      </x:c>
      <x:c r="D58" s="23" t="n">
        <x:f>'PlantInfo'!G58</x:f>
        <x:v>500</x:v>
      </x:c>
      <x:c r="E58" s="23" t="n">
        <x:f>SUMIF('District Allocation'!$A$2:$A$508,A58,'District Allocation'!$K$2:$K$508)</x:f>
        <x:v>500</x:v>
      </x:c>
      <x:c r="F58" s="23" t="n">
        <x:f>E58-D58</x:f>
        <x:v>0</x:v>
      </x:c>
      <x:c r="G58" t="str">
        <x:f>IF(ABS(F58)&lt;0.000001,"OK","CHECK")</x:f>
        <x:v>OK</x:v>
      </x:c>
    </x:row>
    <x:row r="59">
      <x:c r="A59" t="n">
        <x:v>59</x:v>
      </x:c>
      <x:c r="B59" t="str">
        <x:f>'PlantInfo'!A59</x:f>
        <x:v>Coal</x:v>
      </x:c>
      <x:c r="C59" s="22" t="str">
        <x:f>'PlantInfo'!C59</x:f>
        <x:v>Tuticorin TPS</x:v>
      </x:c>
      <x:c r="D59" s="23" t="n">
        <x:f>'PlantInfo'!G59</x:f>
        <x:v>210</x:v>
      </x:c>
      <x:c r="E59" s="23" t="n">
        <x:f>SUMIF('District Allocation'!$A$2:$A$508,A59,'District Allocation'!$K$2:$K$508)</x:f>
        <x:v>210</x:v>
      </x:c>
      <x:c r="F59" s="23" t="n">
        <x:f>E59-D59</x:f>
        <x:v>0</x:v>
      </x:c>
      <x:c r="G59" t="str">
        <x:f>IF(ABS(F59)&lt;0.000001,"OK","CHECK")</x:f>
        <x:v>OK</x:v>
      </x:c>
    </x:row>
    <x:row r="60">
      <x:c r="A60" t="n">
        <x:v>60</x:v>
      </x:c>
      <x:c r="B60" t="str">
        <x:f>'PlantInfo'!A60</x:f>
        <x:v>Coal</x:v>
      </x:c>
      <x:c r="C60" s="22" t="str">
        <x:f>'PlantInfo'!C60</x:f>
        <x:v>Tuticorin TPS</x:v>
      </x:c>
      <x:c r="D60" s="23" t="n">
        <x:f>'PlantInfo'!G60</x:f>
        <x:v>210</x:v>
      </x:c>
      <x:c r="E60" s="23" t="n">
        <x:f>SUMIF('District Allocation'!$A$2:$A$508,A60,'District Allocation'!$K$2:$K$508)</x:f>
        <x:v>210</x:v>
      </x:c>
      <x:c r="F60" s="23" t="n">
        <x:f>E60-D60</x:f>
        <x:v>0</x:v>
      </x:c>
      <x:c r="G60" t="str">
        <x:f>IF(ABS(F60)&lt;0.000001,"OK","CHECK")</x:f>
        <x:v>OK</x:v>
      </x:c>
    </x:row>
    <x:row r="61">
      <x:c r="A61" t="n">
        <x:v>61</x:v>
      </x:c>
      <x:c r="B61" t="str">
        <x:f>'PlantInfo'!A61</x:f>
        <x:v>Coal</x:v>
      </x:c>
      <x:c r="C61" s="22" t="str">
        <x:f>'PlantInfo'!C61</x:f>
        <x:v>Tuticorin TPS</x:v>
      </x:c>
      <x:c r="D61" s="23" t="n">
        <x:f>'PlantInfo'!G61</x:f>
        <x:v>210</x:v>
      </x:c>
      <x:c r="E61" s="23" t="n">
        <x:f>SUMIF('District Allocation'!$A$2:$A$508,A61,'District Allocation'!$K$2:$K$508)</x:f>
        <x:v>210</x:v>
      </x:c>
      <x:c r="F61" s="23" t="n">
        <x:f>E61-D61</x:f>
        <x:v>0</x:v>
      </x:c>
      <x:c r="G61" t="str">
        <x:f>IF(ABS(F61)&lt;0.000001,"OK","CHECK")</x:f>
        <x:v>OK</x:v>
      </x:c>
    </x:row>
    <x:row r="62">
      <x:c r="A62" t="n">
        <x:v>62</x:v>
      </x:c>
      <x:c r="B62" t="str">
        <x:f>'PlantInfo'!A62</x:f>
        <x:v>Coal</x:v>
      </x:c>
      <x:c r="C62" s="22" t="str">
        <x:f>'PlantInfo'!C62</x:f>
        <x:v>Tuticorin TPS</x:v>
      </x:c>
      <x:c r="D62" s="23" t="n">
        <x:f>'PlantInfo'!G62</x:f>
        <x:v>210</x:v>
      </x:c>
      <x:c r="E62" s="23" t="n">
        <x:f>SUMIF('District Allocation'!$A$2:$A$508,A62,'District Allocation'!$K$2:$K$508)</x:f>
        <x:v>210</x:v>
      </x:c>
      <x:c r="F62" s="23" t="n">
        <x:f>E62-D62</x:f>
        <x:v>0</x:v>
      </x:c>
      <x:c r="G62" t="str">
        <x:f>IF(ABS(F62)&lt;0.000001,"OK","CHECK")</x:f>
        <x:v>OK</x:v>
      </x:c>
    </x:row>
    <x:row r="63">
      <x:c r="A63" t="n">
        <x:v>63</x:v>
      </x:c>
      <x:c r="B63" t="str">
        <x:f>'PlantInfo'!A63</x:f>
        <x:v>Coal</x:v>
      </x:c>
      <x:c r="C63" s="22" t="str">
        <x:f>'PlantInfo'!C63</x:f>
        <x:v>Tuticorin TPS</x:v>
      </x:c>
      <x:c r="D63" s="23" t="n">
        <x:f>'PlantInfo'!G63</x:f>
        <x:v>210</x:v>
      </x:c>
      <x:c r="E63" s="23" t="n">
        <x:f>SUMIF('District Allocation'!$A$2:$A$508,A63,'District Allocation'!$K$2:$K$508)</x:f>
        <x:v>210</x:v>
      </x:c>
      <x:c r="F63" s="23" t="n">
        <x:f>E63-D63</x:f>
        <x:v>0</x:v>
      </x:c>
      <x:c r="G63" t="str">
        <x:f>IF(ABS(F63)&lt;0.000001,"OK","CHECK")</x:f>
        <x:v>OK</x:v>
      </x:c>
    </x:row>
    <x:row r="64">
      <x:c r="A64" t="n">
        <x:v>64</x:v>
      </x:c>
      <x:c r="B64" t="str">
        <x:f>'PlantInfo'!A64</x:f>
        <x:v>Coal</x:v>
      </x:c>
      <x:c r="C64" s="22" t="str">
        <x:f>'PlantInfo'!C64</x:f>
        <x:v>Tuticorin Thermal Power Plant</x:v>
      </x:c>
      <x:c r="D64" s="23" t="n">
        <x:f>'PlantInfo'!G64</x:f>
        <x:v>525</x:v>
      </x:c>
      <x:c r="E64" s="23" t="n">
        <x:f>SUMIF('District Allocation'!$A$2:$A$508,A64,'District Allocation'!$K$2:$K$508)</x:f>
        <x:v>525</x:v>
      </x:c>
      <x:c r="F64" s="23" t="n">
        <x:f>E64-D64</x:f>
        <x:v>0</x:v>
      </x:c>
      <x:c r="G64" t="str">
        <x:f>IF(ABS(F64)&lt;0.000001,"OK","CHECK")</x:f>
        <x:v>OK</x:v>
      </x:c>
    </x:row>
    <x:row r="65">
      <x:c r="A65" t="n">
        <x:v>65</x:v>
      </x:c>
      <x:c r="B65" t="str">
        <x:f>'PlantInfo'!A65</x:f>
        <x:v>Coal</x:v>
      </x:c>
      <x:c r="C65" s="22" t="str">
        <x:f>'PlantInfo'!C65</x:f>
        <x:v>Udangudi Power Station</x:v>
      </x:c>
      <x:c r="D65" s="23" t="n">
        <x:f>'PlantInfo'!G65</x:f>
        <x:v>660</x:v>
      </x:c>
      <x:c r="E65" s="23" t="n">
        <x:f>SUMIF('District Allocation'!$A$2:$A$508,A65,'District Allocation'!$K$2:$K$508)</x:f>
        <x:v>660</x:v>
      </x:c>
      <x:c r="F65" s="23" t="n">
        <x:f>E65-D65</x:f>
        <x:v>0</x:v>
      </x:c>
      <x:c r="G65" t="str">
        <x:f>IF(ABS(F65)&lt;0.000001,"OK","CHECK")</x:f>
        <x:v>OK</x:v>
      </x:c>
    </x:row>
    <x:row r="66">
      <x:c r="A66" t="n">
        <x:v>66</x:v>
      </x:c>
      <x:c r="B66" t="str">
        <x:f>'PlantInfo'!A66</x:f>
        <x:v>Coal</x:v>
      </x:c>
      <x:c r="C66" s="22" t="str">
        <x:f>'PlantInfo'!C66</x:f>
        <x:v>Udangudi Power Station</x:v>
      </x:c>
      <x:c r="D66" s="23" t="n">
        <x:f>'PlantInfo'!G66</x:f>
        <x:v>660</x:v>
      </x:c>
      <x:c r="E66" s="23" t="n">
        <x:f>SUMIF('District Allocation'!$A$2:$A$508,A66,'District Allocation'!$K$2:$K$508)</x:f>
        <x:v>660</x:v>
      </x:c>
      <x:c r="F66" s="23" t="n">
        <x:f>E66-D66</x:f>
        <x:v>0</x:v>
      </x:c>
      <x:c r="G66" t="str">
        <x:f>IF(ABS(F66)&lt;0.000001,"OK","CHECK")</x:f>
        <x:v>OK</x:v>
      </x:c>
    </x:row>
    <x:row r="67">
      <x:c r="A67" t="n">
        <x:v>67</x:v>
      </x:c>
      <x:c r="B67" t="str">
        <x:f>'PlantInfo'!A67</x:f>
        <x:v>Coal</x:v>
      </x:c>
      <x:c r="C67" s="22" t="str">
        <x:f>'PlantInfo'!C67</x:f>
        <x:v>Vallur TPP</x:v>
      </x:c>
      <x:c r="D67" s="23" t="n">
        <x:f>'PlantInfo'!G67</x:f>
        <x:v>500</x:v>
      </x:c>
      <x:c r="E67" s="23" t="n">
        <x:f>SUMIF('District Allocation'!$A$2:$A$508,A67,'District Allocation'!$K$2:$K$508)</x:f>
        <x:v>500</x:v>
      </x:c>
      <x:c r="F67" s="23" t="n">
        <x:f>E67-D67</x:f>
        <x:v>0</x:v>
      </x:c>
      <x:c r="G67" t="str">
        <x:f>IF(ABS(F67)&lt;0.000001,"OK","CHECK")</x:f>
        <x:v>OK</x:v>
      </x:c>
    </x:row>
    <x:row r="68">
      <x:c r="A68" t="n">
        <x:v>68</x:v>
      </x:c>
      <x:c r="B68" t="str">
        <x:f>'PlantInfo'!A68</x:f>
        <x:v>Coal</x:v>
      </x:c>
      <x:c r="C68" s="22" t="str">
        <x:f>'PlantInfo'!C68</x:f>
        <x:v>Vallur TPP</x:v>
      </x:c>
      <x:c r="D68" s="23" t="n">
        <x:f>'PlantInfo'!G68</x:f>
        <x:v>500</x:v>
      </x:c>
      <x:c r="E68" s="23" t="n">
        <x:f>SUMIF('District Allocation'!$A$2:$A$508,A68,'District Allocation'!$K$2:$K$508)</x:f>
        <x:v>500</x:v>
      </x:c>
      <x:c r="F68" s="23" t="n">
        <x:f>E68-D68</x:f>
        <x:v>0</x:v>
      </x:c>
      <x:c r="G68" t="str">
        <x:f>IF(ABS(F68)&lt;0.000001,"OK","CHECK")</x:f>
        <x:v>OK</x:v>
      </x:c>
    </x:row>
    <x:row r="69">
      <x:c r="A69" t="n">
        <x:v>69</x:v>
      </x:c>
      <x:c r="B69" t="str">
        <x:f>'PlantInfo'!A69</x:f>
        <x:v>Coal</x:v>
      </x:c>
      <x:c r="C69" s="22" t="str">
        <x:f>'PlantInfo'!C69</x:f>
        <x:v>Vallur TPP</x:v>
      </x:c>
      <x:c r="D69" s="23" t="n">
        <x:f>'PlantInfo'!G69</x:f>
        <x:v>500</x:v>
      </x:c>
      <x:c r="E69" s="23" t="n">
        <x:f>SUMIF('District Allocation'!$A$2:$A$508,A69,'District Allocation'!$K$2:$K$508)</x:f>
        <x:v>500</x:v>
      </x:c>
      <x:c r="F69" s="23" t="n">
        <x:f>E69-D69</x:f>
        <x:v>0</x:v>
      </x:c>
      <x:c r="G69" t="str">
        <x:f>IF(ABS(F69)&lt;0.000001,"OK","CHECK")</x:f>
        <x:v>OK</x:v>
      </x:c>
    </x:row>
    <x:row r="70">
      <x:c r="A70" t="n">
        <x:v>70</x:v>
      </x:c>
      <x:c r="B70" t="str">
        <x:f>'PlantInfo'!A70</x:f>
        <x:v>Hydro</x:v>
      </x:c>
      <x:c r="C70" s="22" t="str">
        <x:f>'PlantInfo'!C70</x:f>
        <x:v>Aliyar Hydroelectric Power Project</x:v>
      </x:c>
      <x:c r="D70" s="23" t="n">
        <x:f>'PlantInfo'!G70</x:f>
        <x:v>60</x:v>
      </x:c>
      <x:c r="E70" s="23" t="n">
        <x:f>SUMIF('District Allocation'!$A$2:$A$508,A70,'District Allocation'!$K$2:$K$508)</x:f>
        <x:v>60</x:v>
      </x:c>
      <x:c r="F70" s="23" t="n">
        <x:f>E70-D70</x:f>
        <x:v>0</x:v>
      </x:c>
      <x:c r="G70" t="str">
        <x:f>IF(ABS(F70)&lt;0.000001,"OK","CHECK")</x:f>
        <x:v>OK</x:v>
      </x:c>
    </x:row>
    <x:row r="71">
      <x:c r="A71" t="n">
        <x:v>71</x:v>
      </x:c>
      <x:c r="B71" t="str">
        <x:f>'PlantInfo'!A71</x:f>
        <x:v>Hydro</x:v>
      </x:c>
      <x:c r="C71" s="22" t="str">
        <x:f>'PlantInfo'!C71</x:f>
        <x:v>Bhavani Kattalai Barrage I Hydroelectric Power Project</x:v>
      </x:c>
      <x:c r="D71" s="23" t="n">
        <x:f>'PlantInfo'!G71</x:f>
        <x:v>15</x:v>
      </x:c>
      <x:c r="E71" s="23" t="n">
        <x:f>SUMIF('District Allocation'!$A$2:$A$508,A71,'District Allocation'!$K$2:$K$508)</x:f>
        <x:v>15</x:v>
      </x:c>
      <x:c r="F71" s="23" t="n">
        <x:f>E71-D71</x:f>
        <x:v>0</x:v>
      </x:c>
      <x:c r="G71" t="str">
        <x:f>IF(ABS(F71)&lt;0.000001,"OK","CHECK")</x:f>
        <x:v>OK</x:v>
      </x:c>
    </x:row>
    <x:row r="72">
      <x:c r="A72" t="n">
        <x:v>72</x:v>
      </x:c>
      <x:c r="B72" t="str">
        <x:f>'PlantInfo'!A72</x:f>
        <x:v>Hydro</x:v>
      </x:c>
      <x:c r="C72" s="22" t="str">
        <x:f>'PlantInfo'!C72</x:f>
        <x:v>Bhavani Kattalai Barrage I Hydroelectric Power Project</x:v>
      </x:c>
      <x:c r="D72" s="23" t="n">
        <x:f>'PlantInfo'!G72</x:f>
        <x:v>15</x:v>
      </x:c>
      <x:c r="E72" s="23" t="n">
        <x:f>SUMIF('District Allocation'!$A$2:$A$508,A72,'District Allocation'!$K$2:$K$508)</x:f>
        <x:v>15</x:v>
      </x:c>
      <x:c r="F72" s="23" t="n">
        <x:f>E72-D72</x:f>
        <x:v>0</x:v>
      </x:c>
      <x:c r="G72" t="str">
        <x:f>IF(ABS(F72)&lt;0.000001,"OK","CHECK")</x:f>
        <x:v>OK</x:v>
      </x:c>
    </x:row>
    <x:row r="73">
      <x:c r="A73" t="n">
        <x:v>73</x:v>
      </x:c>
      <x:c r="B73" t="str">
        <x:f>'PlantInfo'!A73</x:f>
        <x:v>Hydro</x:v>
      </x:c>
      <x:c r="C73" s="22" t="str">
        <x:f>'PlantInfo'!C73</x:f>
        <x:v>Bhavani Kattalai Barrage II Hydroelectric Power Project</x:v>
      </x:c>
      <x:c r="D73" s="23" t="n">
        <x:f>'PlantInfo'!G73</x:f>
        <x:v>15</x:v>
      </x:c>
      <x:c r="E73" s="23" t="n">
        <x:f>SUMIF('District Allocation'!$A$2:$A$508,A73,'District Allocation'!$K$2:$K$508)</x:f>
        <x:v>15</x:v>
      </x:c>
      <x:c r="F73" s="23" t="n">
        <x:f>E73-D73</x:f>
        <x:v>0</x:v>
      </x:c>
      <x:c r="G73" t="str">
        <x:f>IF(ABS(F73)&lt;0.000001,"OK","CHECK")</x:f>
        <x:v>OK</x:v>
      </x:c>
    </x:row>
    <x:row r="74">
      <x:c r="A74" t="n">
        <x:v>74</x:v>
      </x:c>
      <x:c r="B74" t="str">
        <x:f>'PlantInfo'!A74</x:f>
        <x:v>Hydro</x:v>
      </x:c>
      <x:c r="C74" s="22" t="str">
        <x:f>'PlantInfo'!C74</x:f>
        <x:v>Bhavani Kattalai Barrage II Hydroelectric Power Project</x:v>
      </x:c>
      <x:c r="D74" s="23" t="n">
        <x:f>'PlantInfo'!G74</x:f>
        <x:v>15</x:v>
      </x:c>
      <x:c r="E74" s="23" t="n">
        <x:f>SUMIF('District Allocation'!$A$2:$A$508,A74,'District Allocation'!$K$2:$K$508)</x:f>
        <x:v>15</x:v>
      </x:c>
      <x:c r="F74" s="23" t="n">
        <x:f>E74-D74</x:f>
        <x:v>0</x:v>
      </x:c>
      <x:c r="G74" t="str">
        <x:f>IF(ABS(F74)&lt;0.000001,"OK","CHECK")</x:f>
        <x:v>OK</x:v>
      </x:c>
    </x:row>
    <x:row r="75">
      <x:c r="A75" t="n">
        <x:v>75</x:v>
      </x:c>
      <x:c r="B75" t="str">
        <x:f>'PlantInfo'!A75</x:f>
        <x:v>Hydro</x:v>
      </x:c>
      <x:c r="C75" s="22" t="str">
        <x:f>'PlantInfo'!C75</x:f>
        <x:v>Bhavani Kattalai Barrage III Hydroelectric Power Project</x:v>
      </x:c>
      <x:c r="D75" s="23" t="n">
        <x:f>'PlantInfo'!G75</x:f>
        <x:v>15</x:v>
      </x:c>
      <x:c r="E75" s="23" t="n">
        <x:f>SUMIF('District Allocation'!$A$2:$A$508,A75,'District Allocation'!$K$2:$K$508)</x:f>
        <x:v>15</x:v>
      </x:c>
      <x:c r="F75" s="23" t="n">
        <x:f>E75-D75</x:f>
        <x:v>0</x:v>
      </x:c>
      <x:c r="G75" t="str">
        <x:f>IF(ABS(F75)&lt;0.000001,"OK","CHECK")</x:f>
        <x:v>OK</x:v>
      </x:c>
    </x:row>
    <x:row r="76">
      <x:c r="A76" t="n">
        <x:v>76</x:v>
      </x:c>
      <x:c r="B76" t="str">
        <x:f>'PlantInfo'!A76</x:f>
        <x:v>Hydro</x:v>
      </x:c>
      <x:c r="C76" s="22" t="str">
        <x:f>'PlantInfo'!C76</x:f>
        <x:v>Bhavani Kattalai Barrage III Hydroelectric Power Project</x:v>
      </x:c>
      <x:c r="D76" s="23" t="n">
        <x:f>'PlantInfo'!G76</x:f>
        <x:v>15</x:v>
      </x:c>
      <x:c r="E76" s="23" t="n">
        <x:f>SUMIF('District Allocation'!$A$2:$A$508,A76,'District Allocation'!$K$2:$K$508)</x:f>
        <x:v>15</x:v>
      </x:c>
      <x:c r="F76" s="23" t="n">
        <x:f>E76-D76</x:f>
        <x:v>0</x:v>
      </x:c>
      <x:c r="G76" t="str">
        <x:f>IF(ABS(F76)&lt;0.000001,"OK","CHECK")</x:f>
        <x:v>OK</x:v>
      </x:c>
    </x:row>
    <x:row r="77">
      <x:c r="A77" t="n">
        <x:v>77</x:v>
      </x:c>
      <x:c r="B77" t="str">
        <x:f>'PlantInfo'!A77</x:f>
        <x:v>Hydro</x:v>
      </x:c>
      <x:c r="C77" s="22" t="str">
        <x:f>'PlantInfo'!C77</x:f>
        <x:v>Kadmparai Power House</x:v>
      </x:c>
      <x:c r="D77" s="23" t="n">
        <x:f>'PlantInfo'!G77</x:f>
        <x:v>100</x:v>
      </x:c>
      <x:c r="E77" s="23" t="n">
        <x:f>SUMIF('District Allocation'!$A$2:$A$508,A77,'District Allocation'!$K$2:$K$508)</x:f>
        <x:v>100</x:v>
      </x:c>
      <x:c r="F77" s="23" t="n">
        <x:f>E77-D77</x:f>
        <x:v>0</x:v>
      </x:c>
      <x:c r="G77" t="str">
        <x:f>IF(ABS(F77)&lt;0.000001,"OK","CHECK")</x:f>
        <x:v>OK</x:v>
      </x:c>
    </x:row>
    <x:row r="78">
      <x:c r="A78" t="n">
        <x:v>78</x:v>
      </x:c>
      <x:c r="B78" t="str">
        <x:f>'PlantInfo'!A78</x:f>
        <x:v>Hydro</x:v>
      </x:c>
      <x:c r="C78" s="22" t="str">
        <x:f>'PlantInfo'!C78</x:f>
        <x:v>Kadmparai Power House</x:v>
      </x:c>
      <x:c r="D78" s="23" t="n">
        <x:f>'PlantInfo'!G78</x:f>
        <x:v>100</x:v>
      </x:c>
      <x:c r="E78" s="23" t="n">
        <x:f>SUMIF('District Allocation'!$A$2:$A$508,A78,'District Allocation'!$K$2:$K$508)</x:f>
        <x:v>100</x:v>
      </x:c>
      <x:c r="F78" s="23" t="n">
        <x:f>E78-D78</x:f>
        <x:v>0</x:v>
      </x:c>
      <x:c r="G78" t="str">
        <x:f>IF(ABS(F78)&lt;0.000001,"OK","CHECK")</x:f>
        <x:v>OK</x:v>
      </x:c>
    </x:row>
    <x:row r="79">
      <x:c r="A79" t="n">
        <x:v>79</x:v>
      </x:c>
      <x:c r="B79" t="str">
        <x:f>'PlantInfo'!A79</x:f>
        <x:v>Hydro</x:v>
      </x:c>
      <x:c r="C79" s="22" t="str">
        <x:f>'PlantInfo'!C79</x:f>
        <x:v>Kadmparai Power House</x:v>
      </x:c>
      <x:c r="D79" s="23" t="n">
        <x:f>'PlantInfo'!G79</x:f>
        <x:v>100</x:v>
      </x:c>
      <x:c r="E79" s="23" t="n">
        <x:f>SUMIF('District Allocation'!$A$2:$A$508,A79,'District Allocation'!$K$2:$K$508)</x:f>
        <x:v>100</x:v>
      </x:c>
      <x:c r="F79" s="23" t="n">
        <x:f>E79-D79</x:f>
        <x:v>0</x:v>
      </x:c>
      <x:c r="G79" t="str">
        <x:f>IF(ABS(F79)&lt;0.000001,"OK","CHECK")</x:f>
        <x:v>OK</x:v>
      </x:c>
    </x:row>
    <x:row r="80">
      <x:c r="A80" t="n">
        <x:v>80</x:v>
      </x:c>
      <x:c r="B80" t="str">
        <x:f>'PlantInfo'!A80</x:f>
        <x:v>Hydro</x:v>
      </x:c>
      <x:c r="C80" s="22" t="str">
        <x:f>'PlantInfo'!C80</x:f>
        <x:v>Kadmparai Power House</x:v>
      </x:c>
      <x:c r="D80" s="23" t="n">
        <x:f>'PlantInfo'!G80</x:f>
        <x:v>100</x:v>
      </x:c>
      <x:c r="E80" s="23" t="n">
        <x:f>SUMIF('District Allocation'!$A$2:$A$508,A80,'District Allocation'!$K$2:$K$508)</x:f>
        <x:v>100</x:v>
      </x:c>
      <x:c r="F80" s="23" t="n">
        <x:f>E80-D80</x:f>
        <x:v>0</x:v>
      </x:c>
      <x:c r="G80" t="str">
        <x:f>IF(ABS(F80)&lt;0.000001,"OK","CHECK")</x:f>
        <x:v>OK</x:v>
      </x:c>
    </x:row>
    <x:row r="81">
      <x:c r="A81" t="n">
        <x:v>81</x:v>
      </x:c>
      <x:c r="B81" t="str">
        <x:f>'PlantInfo'!A81</x:f>
        <x:v>Hydro</x:v>
      </x:c>
      <x:c r="C81" s="22" t="str">
        <x:f>'PlantInfo'!C81</x:f>
        <x:v>Kodayar I &amp; II Power House</x:v>
      </x:c>
      <x:c r="D81" s="23" t="n">
        <x:f>'PlantInfo'!G81</x:f>
        <x:v>60</x:v>
      </x:c>
      <x:c r="E81" s="23" t="n">
        <x:f>SUMIF('District Allocation'!$A$2:$A$508,A81,'District Allocation'!$K$2:$K$508)</x:f>
        <x:v>60</x:v>
      </x:c>
      <x:c r="F81" s="23" t="n">
        <x:f>E81-D81</x:f>
        <x:v>0</x:v>
      </x:c>
      <x:c r="G81" t="str">
        <x:f>IF(ABS(F81)&lt;0.000001,"OK","CHECK")</x:f>
        <x:v>OK</x:v>
      </x:c>
    </x:row>
    <x:row r="82">
      <x:c r="A82" t="n">
        <x:v>82</x:v>
      </x:c>
      <x:c r="B82" t="str">
        <x:f>'PlantInfo'!A82</x:f>
        <x:v>Hydro</x:v>
      </x:c>
      <x:c r="C82" s="22" t="str">
        <x:f>'PlantInfo'!C82</x:f>
        <x:v>Kodayar I &amp; II Power House</x:v>
      </x:c>
      <x:c r="D82" s="23" t="n">
        <x:f>'PlantInfo'!G82</x:f>
        <x:v>40</x:v>
      </x:c>
      <x:c r="E82" s="23" t="n">
        <x:f>SUMIF('District Allocation'!$A$2:$A$508,A82,'District Allocation'!$K$2:$K$508)</x:f>
        <x:v>40</x:v>
      </x:c>
      <x:c r="F82" s="23" t="n">
        <x:f>E82-D82</x:f>
        <x:v>0</x:v>
      </x:c>
      <x:c r="G82" t="str">
        <x:f>IF(ABS(F82)&lt;0.000001,"OK","CHECK")</x:f>
        <x:v>OK</x:v>
      </x:c>
    </x:row>
    <x:row r="83">
      <x:c r="A83" t="n">
        <x:v>83</x:v>
      </x:c>
      <x:c r="B83" t="str">
        <x:f>'PlantInfo'!A83</x:f>
        <x:v>Hydro</x:v>
      </x:c>
      <x:c r="C83" s="22" t="str">
        <x:f>'PlantInfo'!C83</x:f>
        <x:v>Kundah I to V Hydroelectric Power Project</x:v>
      </x:c>
      <x:c r="D83" s="23" t="n">
        <x:f>'PlantInfo'!G83</x:f>
        <x:v>20</x:v>
      </x:c>
      <x:c r="E83" s="23" t="n">
        <x:f>SUMIF('District Allocation'!$A$2:$A$508,A83,'District Allocation'!$K$2:$K$508)</x:f>
        <x:v>20</x:v>
      </x:c>
      <x:c r="F83" s="23" t="n">
        <x:f>E83-D83</x:f>
        <x:v>0</x:v>
      </x:c>
      <x:c r="G83" t="str">
        <x:f>IF(ABS(F83)&lt;0.000001,"OK","CHECK")</x:f>
        <x:v>OK</x:v>
      </x:c>
    </x:row>
    <x:row r="84">
      <x:c r="A84" t="n">
        <x:v>84</x:v>
      </x:c>
      <x:c r="B84" t="str">
        <x:f>'PlantInfo'!A84</x:f>
        <x:v>Hydro</x:v>
      </x:c>
      <x:c r="C84" s="22" t="str">
        <x:f>'PlantInfo'!C84</x:f>
        <x:v>Kundah I to V Hydroelectric Power Project</x:v>
      </x:c>
      <x:c r="D84" s="23" t="n">
        <x:f>'PlantInfo'!G84</x:f>
        <x:v>20</x:v>
      </x:c>
      <x:c r="E84" s="23" t="n">
        <x:f>SUMIF('District Allocation'!$A$2:$A$508,A84,'District Allocation'!$K$2:$K$508)</x:f>
        <x:v>20</x:v>
      </x:c>
      <x:c r="F84" s="23" t="n">
        <x:f>E84-D84</x:f>
        <x:v>0</x:v>
      </x:c>
      <x:c r="G84" t="str">
        <x:f>IF(ABS(F84)&lt;0.000001,"OK","CHECK")</x:f>
        <x:v>OK</x:v>
      </x:c>
    </x:row>
    <x:row r="85">
      <x:c r="A85" t="n">
        <x:v>85</x:v>
      </x:c>
      <x:c r="B85" t="str">
        <x:f>'PlantInfo'!A85</x:f>
        <x:v>Hydro</x:v>
      </x:c>
      <x:c r="C85" s="22" t="str">
        <x:f>'PlantInfo'!C85</x:f>
        <x:v>Kundah I to V Hydroelectric Power Project</x:v>
      </x:c>
      <x:c r="D85" s="23" t="n">
        <x:f>'PlantInfo'!G85</x:f>
        <x:v>20</x:v>
      </x:c>
      <x:c r="E85" s="23" t="n">
        <x:f>SUMIF('District Allocation'!$A$2:$A$508,A85,'District Allocation'!$K$2:$K$508)</x:f>
        <x:v>20</x:v>
      </x:c>
      <x:c r="F85" s="23" t="n">
        <x:f>E85-D85</x:f>
        <x:v>0</x:v>
      </x:c>
      <x:c r="G85" t="str">
        <x:f>IF(ABS(F85)&lt;0.000001,"OK","CHECK")</x:f>
        <x:v>OK</x:v>
      </x:c>
    </x:row>
    <x:row r="86">
      <x:c r="A86" t="n">
        <x:v>86</x:v>
      </x:c>
      <x:c r="B86" t="str">
        <x:f>'PlantInfo'!A86</x:f>
        <x:v>Hydro</x:v>
      </x:c>
      <x:c r="C86" s="22" t="str">
        <x:f>'PlantInfo'!C86</x:f>
        <x:v>Kundah I to V Hydroelectric Power Project</x:v>
      </x:c>
      <x:c r="D86" s="23" t="n">
        <x:f>'PlantInfo'!G86</x:f>
        <x:v>35</x:v>
      </x:c>
      <x:c r="E86" s="23" t="n">
        <x:f>SUMIF('District Allocation'!$A$2:$A$508,A86,'District Allocation'!$K$2:$K$508)</x:f>
        <x:v>35</x:v>
      </x:c>
      <x:c r="F86" s="23" t="n">
        <x:f>E86-D86</x:f>
        <x:v>0</x:v>
      </x:c>
      <x:c r="G86" t="str">
        <x:f>IF(ABS(F86)&lt;0.000001,"OK","CHECK")</x:f>
        <x:v>OK</x:v>
      </x:c>
    </x:row>
    <x:row r="87">
      <x:c r="A87" t="n">
        <x:v>87</x:v>
      </x:c>
      <x:c r="B87" t="str">
        <x:f>'PlantInfo'!A87</x:f>
        <x:v>Hydro</x:v>
      </x:c>
      <x:c r="C87" s="22" t="str">
        <x:f>'PlantInfo'!C87</x:f>
        <x:v>Kundah I to V Hydroelectric Power Project</x:v>
      </x:c>
      <x:c r="D87" s="23" t="n">
        <x:f>'PlantInfo'!G87</x:f>
        <x:v>35</x:v>
      </x:c>
      <x:c r="E87" s="23" t="n">
        <x:f>SUMIF('District Allocation'!$A$2:$A$508,A87,'District Allocation'!$K$2:$K$508)</x:f>
        <x:v>35</x:v>
      </x:c>
      <x:c r="F87" s="23" t="n">
        <x:f>E87-D87</x:f>
        <x:v>0</x:v>
      </x:c>
      <x:c r="G87" t="str">
        <x:f>IF(ABS(F87)&lt;0.000001,"OK","CHECK")</x:f>
        <x:v>OK</x:v>
      </x:c>
    </x:row>
    <x:row r="88">
      <x:c r="A88" t="n">
        <x:v>88</x:v>
      </x:c>
      <x:c r="B88" t="str">
        <x:f>'PlantInfo'!A88</x:f>
        <x:v>Hydro</x:v>
      </x:c>
      <x:c r="C88" s="22" t="str">
        <x:f>'PlantInfo'!C88</x:f>
        <x:v>Kundah I to V Hydroelectric Power Project</x:v>
      </x:c>
      <x:c r="D88" s="23" t="n">
        <x:f>'PlantInfo'!G88</x:f>
        <x:v>35</x:v>
      </x:c>
      <x:c r="E88" s="23" t="n">
        <x:f>SUMIF('District Allocation'!$A$2:$A$508,A88,'District Allocation'!$K$2:$K$508)</x:f>
        <x:v>35</x:v>
      </x:c>
      <x:c r="F88" s="23" t="n">
        <x:f>E88-D88</x:f>
        <x:v>0</x:v>
      </x:c>
      <x:c r="G88" t="str">
        <x:f>IF(ABS(F88)&lt;0.000001,"OK","CHECK")</x:f>
        <x:v>OK</x:v>
      </x:c>
    </x:row>
    <x:row r="89">
      <x:c r="A89" t="n">
        <x:v>89</x:v>
      </x:c>
      <x:c r="B89" t="str">
        <x:f>'PlantInfo'!A89</x:f>
        <x:v>Hydro</x:v>
      </x:c>
      <x:c r="C89" s="22" t="str">
        <x:f>'PlantInfo'!C89</x:f>
        <x:v>Kundah I to V Hydroelectric Power Project</x:v>
      </x:c>
      <x:c r="D89" s="23" t="n">
        <x:f>'PlantInfo'!G89</x:f>
        <x:v>35</x:v>
      </x:c>
      <x:c r="E89" s="23" t="n">
        <x:f>SUMIF('District Allocation'!$A$2:$A$508,A89,'District Allocation'!$K$2:$K$508)</x:f>
        <x:v>35</x:v>
      </x:c>
      <x:c r="F89" s="23" t="n">
        <x:f>E89-D89</x:f>
        <x:v>0</x:v>
      </x:c>
      <x:c r="G89" t="str">
        <x:f>IF(ABS(F89)&lt;0.000001,"OK","CHECK")</x:f>
        <x:v>OK</x:v>
      </x:c>
    </x:row>
    <x:row r="90">
      <x:c r="A90" t="n">
        <x:v>90</x:v>
      </x:c>
      <x:c r="B90" t="str">
        <x:f>'PlantInfo'!A90</x:f>
        <x:v>Hydro</x:v>
      </x:c>
      <x:c r="C90" s="22" t="str">
        <x:f>'PlantInfo'!C90</x:f>
        <x:v>Kundah I to V Hydroelectric Power Project</x:v>
      </x:c>
      <x:c r="D90" s="23" t="n">
        <x:f>'PlantInfo'!G90</x:f>
        <x:v>35</x:v>
      </x:c>
      <x:c r="E90" s="23" t="n">
        <x:f>SUMIF('District Allocation'!$A$2:$A$508,A90,'District Allocation'!$K$2:$K$508)</x:f>
        <x:v>35</x:v>
      </x:c>
      <x:c r="F90" s="23" t="n">
        <x:f>E90-D90</x:f>
        <x:v>0</x:v>
      </x:c>
      <x:c r="G90" t="str">
        <x:f>IF(ABS(F90)&lt;0.000001,"OK","CHECK")</x:f>
        <x:v>OK</x:v>
      </x:c>
    </x:row>
    <x:row r="91">
      <x:c r="A91" t="n">
        <x:v>91</x:v>
      </x:c>
      <x:c r="B91" t="str">
        <x:f>'PlantInfo'!A91</x:f>
        <x:v>Hydro</x:v>
      </x:c>
      <x:c r="C91" s="22" t="str">
        <x:f>'PlantInfo'!C91</x:f>
        <x:v>Kundah I to V Hydroelectric Power Project</x:v>
      </x:c>
      <x:c r="D91" s="23" t="n">
        <x:f>'PlantInfo'!G91</x:f>
        <x:v>60</x:v>
      </x:c>
      <x:c r="E91" s="23" t="n">
        <x:f>SUMIF('District Allocation'!$A$2:$A$508,A91,'District Allocation'!$K$2:$K$508)</x:f>
        <x:v>60</x:v>
      </x:c>
      <x:c r="F91" s="23" t="n">
        <x:f>E91-D91</x:f>
        <x:v>0</x:v>
      </x:c>
      <x:c r="G91" t="str">
        <x:f>IF(ABS(F91)&lt;0.000001,"OK","CHECK")</x:f>
        <x:v>OK</x:v>
      </x:c>
    </x:row>
    <x:row r="92">
      <x:c r="A92" t="n">
        <x:v>92</x:v>
      </x:c>
      <x:c r="B92" t="str">
        <x:f>'PlantInfo'!A92</x:f>
        <x:v>Hydro</x:v>
      </x:c>
      <x:c r="C92" s="22" t="str">
        <x:f>'PlantInfo'!C92</x:f>
        <x:v>Kundah I to V Hydroelectric Power Project</x:v>
      </x:c>
      <x:c r="D92" s="23" t="n">
        <x:f>'PlantInfo'!G92</x:f>
        <x:v>60</x:v>
      </x:c>
      <x:c r="E92" s="23" t="n">
        <x:f>SUMIF('District Allocation'!$A$2:$A$508,A92,'District Allocation'!$K$2:$K$508)</x:f>
        <x:v>60</x:v>
      </x:c>
      <x:c r="F92" s="23" t="n">
        <x:f>E92-D92</x:f>
        <x:v>0</x:v>
      </x:c>
      <x:c r="G92" t="str">
        <x:f>IF(ABS(F92)&lt;0.000001,"OK","CHECK")</x:f>
        <x:v>OK</x:v>
      </x:c>
    </x:row>
    <x:row r="93">
      <x:c r="A93" t="n">
        <x:v>93</x:v>
      </x:c>
      <x:c r="B93" t="str">
        <x:f>'PlantInfo'!A93</x:f>
        <x:v>Hydro</x:v>
      </x:c>
      <x:c r="C93" s="22" t="str">
        <x:f>'PlantInfo'!C93</x:f>
        <x:v>Kundah I to V Hydroelectric Power Project</x:v>
      </x:c>
      <x:c r="D93" s="23" t="n">
        <x:f>'PlantInfo'!G93</x:f>
        <x:v>60</x:v>
      </x:c>
      <x:c r="E93" s="23" t="n">
        <x:f>SUMIF('District Allocation'!$A$2:$A$508,A93,'District Allocation'!$K$2:$K$508)</x:f>
        <x:v>60</x:v>
      </x:c>
      <x:c r="F93" s="23" t="n">
        <x:f>E93-D93</x:f>
        <x:v>0</x:v>
      </x:c>
      <x:c r="G93" t="str">
        <x:f>IF(ABS(F93)&lt;0.000001,"OK","CHECK")</x:f>
        <x:v>OK</x:v>
      </x:c>
    </x:row>
    <x:row r="94">
      <x:c r="A94" t="n">
        <x:v>94</x:v>
      </x:c>
      <x:c r="B94" t="str">
        <x:f>'PlantInfo'!A94</x:f>
        <x:v>Hydro</x:v>
      </x:c>
      <x:c r="C94" s="22" t="str">
        <x:f>'PlantInfo'!C94</x:f>
        <x:v>Kundah I to V Hydroelectric Power Project</x:v>
      </x:c>
      <x:c r="D94" s="23" t="n">
        <x:f>'PlantInfo'!G94</x:f>
        <x:v>50</x:v>
      </x:c>
      <x:c r="E94" s="23" t="n">
        <x:f>SUMIF('District Allocation'!$A$2:$A$508,A94,'District Allocation'!$K$2:$K$508)</x:f>
        <x:v>50</x:v>
      </x:c>
      <x:c r="F94" s="23" t="n">
        <x:f>E94-D94</x:f>
        <x:v>0</x:v>
      </x:c>
      <x:c r="G94" t="str">
        <x:f>IF(ABS(F94)&lt;0.000001,"OK","CHECK")</x:f>
        <x:v>OK</x:v>
      </x:c>
    </x:row>
    <x:row r="95">
      <x:c r="A95" t="n">
        <x:v>95</x:v>
      </x:c>
      <x:c r="B95" t="str">
        <x:f>'PlantInfo'!A95</x:f>
        <x:v>Hydro</x:v>
      </x:c>
      <x:c r="C95" s="22" t="str">
        <x:f>'PlantInfo'!C95</x:f>
        <x:v>Kundah I to V Hydroelectric Power Project</x:v>
      </x:c>
      <x:c r="D95" s="23" t="n">
        <x:f>'PlantInfo'!G95</x:f>
        <x:v>50</x:v>
      </x:c>
      <x:c r="E95" s="23" t="n">
        <x:f>SUMIF('District Allocation'!$A$2:$A$508,A95,'District Allocation'!$K$2:$K$508)</x:f>
        <x:v>50</x:v>
      </x:c>
      <x:c r="F95" s="23" t="n">
        <x:f>E95-D95</x:f>
        <x:v>0</x:v>
      </x:c>
      <x:c r="G95" t="str">
        <x:f>IF(ABS(F95)&lt;0.000001,"OK","CHECK")</x:f>
        <x:v>OK</x:v>
      </x:c>
    </x:row>
    <x:row r="96">
      <x:c r="A96" t="n">
        <x:v>96</x:v>
      </x:c>
      <x:c r="B96" t="str">
        <x:f>'PlantInfo'!A96</x:f>
        <x:v>Hydro</x:v>
      </x:c>
      <x:c r="C96" s="22" t="str">
        <x:f>'PlantInfo'!C96</x:f>
        <x:v>Kundah I to V Hydroelectric Power Project</x:v>
      </x:c>
      <x:c r="D96" s="23" t="n">
        <x:f>'PlantInfo'!G96</x:f>
        <x:v>20</x:v>
      </x:c>
      <x:c r="E96" s="23" t="n">
        <x:f>SUMIF('District Allocation'!$A$2:$A$508,A96,'District Allocation'!$K$2:$K$508)</x:f>
        <x:v>20</x:v>
      </x:c>
      <x:c r="F96" s="23" t="n">
        <x:f>E96-D96</x:f>
        <x:v>0</x:v>
      </x:c>
      <x:c r="G96" t="str">
        <x:f>IF(ABS(F96)&lt;0.000001,"OK","CHECK")</x:f>
        <x:v>OK</x:v>
      </x:c>
    </x:row>
    <x:row r="97">
      <x:c r="A97" t="n">
        <x:v>97</x:v>
      </x:c>
      <x:c r="B97" t="str">
        <x:f>'PlantInfo'!A97</x:f>
        <x:v>Hydro</x:v>
      </x:c>
      <x:c r="C97" s="22" t="str">
        <x:f>'PlantInfo'!C97</x:f>
        <x:v>Kundah I to V Hydroelectric Power Project</x:v>
      </x:c>
      <x:c r="D97" s="23" t="n">
        <x:f>'PlantInfo'!G97</x:f>
        <x:v>20</x:v>
      </x:c>
      <x:c r="E97" s="23" t="n">
        <x:f>SUMIF('District Allocation'!$A$2:$A$508,A97,'District Allocation'!$K$2:$K$508)</x:f>
        <x:v>20</x:v>
      </x:c>
      <x:c r="F97" s="23" t="n">
        <x:f>E97-D97</x:f>
        <x:v>0</x:v>
      </x:c>
      <x:c r="G97" t="str">
        <x:f>IF(ABS(F97)&lt;0.000001,"OK","CHECK")</x:f>
        <x:v>OK</x:v>
      </x:c>
    </x:row>
    <x:row r="98">
      <x:c r="A98" t="n">
        <x:v>98</x:v>
      </x:c>
      <x:c r="B98" t="str">
        <x:f>'PlantInfo'!A98</x:f>
        <x:v>Hydro</x:v>
      </x:c>
      <x:c r="C98" s="22" t="str">
        <x:f>'PlantInfo'!C98</x:f>
        <x:v>Kundah Pumped Storage Phase-I, II &amp; III</x:v>
      </x:c>
      <x:c r="D98" s="23" t="n">
        <x:f>'PlantInfo'!G98</x:f>
        <x:v>125</x:v>
      </x:c>
      <x:c r="E98" s="23" t="n">
        <x:f>SUMIF('District Allocation'!$A$2:$A$508,A98,'District Allocation'!$K$2:$K$508)</x:f>
        <x:v>125</x:v>
      </x:c>
      <x:c r="F98" s="23" t="n">
        <x:f>E98-D98</x:f>
        <x:v>0</x:v>
      </x:c>
      <x:c r="G98" t="str">
        <x:f>IF(ABS(F98)&lt;0.000001,"OK","CHECK")</x:f>
        <x:v>OK</x:v>
      </x:c>
    </x:row>
    <x:row r="99">
      <x:c r="A99" t="n">
        <x:v>99</x:v>
      </x:c>
      <x:c r="B99" t="str">
        <x:f>'PlantInfo'!A99</x:f>
        <x:v>Hydro</x:v>
      </x:c>
      <x:c r="C99" s="22" t="str">
        <x:f>'PlantInfo'!C99</x:f>
        <x:v>Kundah Pumped Storage Phase-I, II &amp; III</x:v>
      </x:c>
      <x:c r="D99" s="23" t="n">
        <x:f>'PlantInfo'!G99</x:f>
        <x:v>125</x:v>
      </x:c>
      <x:c r="E99" s="23" t="n">
        <x:f>SUMIF('District Allocation'!$A$2:$A$508,A99,'District Allocation'!$K$2:$K$508)</x:f>
        <x:v>125</x:v>
      </x:c>
      <x:c r="F99" s="23" t="n">
        <x:f>E99-D99</x:f>
        <x:v>0</x:v>
      </x:c>
      <x:c r="G99" t="str">
        <x:f>IF(ABS(F99)&lt;0.000001,"OK","CHECK")</x:f>
        <x:v>OK</x:v>
      </x:c>
    </x:row>
    <x:row r="100">
      <x:c r="A100" t="n">
        <x:v>100</x:v>
      </x:c>
      <x:c r="B100" t="str">
        <x:f>'PlantInfo'!A100</x:f>
        <x:v>Hydro</x:v>
      </x:c>
      <x:c r="C100" s="22" t="str">
        <x:f>'PlantInfo'!C100</x:f>
        <x:v>Kundah Pumped Storage Phase-I, II &amp; III</x:v>
      </x:c>
      <x:c r="D100" s="23" t="n">
        <x:f>'PlantInfo'!G100</x:f>
        <x:v>125</x:v>
      </x:c>
      <x:c r="E100" s="23" t="n">
        <x:f>SUMIF('District Allocation'!$A$2:$A$508,A100,'District Allocation'!$K$2:$K$508)</x:f>
        <x:v>125</x:v>
      </x:c>
      <x:c r="F100" s="23" t="n">
        <x:f>E100-D100</x:f>
        <x:v>0</x:v>
      </x:c>
      <x:c r="G100" t="str">
        <x:f>IF(ABS(F100)&lt;0.000001,"OK","CHECK")</x:f>
        <x:v>OK</x:v>
      </x:c>
    </x:row>
    <x:row r="101">
      <x:c r="A101" t="n">
        <x:v>101</x:v>
      </x:c>
      <x:c r="B101" t="str">
        <x:f>'PlantInfo'!A101</x:f>
        <x:v>Hydro</x:v>
      </x:c>
      <x:c r="C101" s="22" t="str">
        <x:f>'PlantInfo'!C101</x:f>
        <x:v>Kundah Pumped Storage Phase-I, II &amp; III</x:v>
      </x:c>
      <x:c r="D101" s="23" t="n">
        <x:f>'PlantInfo'!G101</x:f>
        <x:v>125</x:v>
      </x:c>
      <x:c r="E101" s="23" t="n">
        <x:f>SUMIF('District Allocation'!$A$2:$A$508,A101,'District Allocation'!$K$2:$K$508)</x:f>
        <x:v>125</x:v>
      </x:c>
      <x:c r="F101" s="23" t="n">
        <x:f>E101-D101</x:f>
        <x:v>0</x:v>
      </x:c>
      <x:c r="G101" t="str">
        <x:f>IF(ABS(F101)&lt;0.000001,"OK","CHECK")</x:f>
        <x:v>OK</x:v>
      </x:c>
    </x:row>
    <x:row r="102">
      <x:c r="A102" t="n">
        <x:v>102</x:v>
      </x:c>
      <x:c r="B102" t="str">
        <x:f>'PlantInfo'!A102</x:f>
        <x:v>Hydro</x:v>
      </x:c>
      <x:c r="C102" s="22" t="str">
        <x:f>'PlantInfo'!C102</x:f>
        <x:v>Lower Mettur I to IV Hydroelectric Power Project</x:v>
      </x:c>
      <x:c r="D102" s="23" t="n">
        <x:f>'PlantInfo'!G102</x:f>
        <x:v>15</x:v>
      </x:c>
      <x:c r="E102" s="23" t="n">
        <x:f>SUMIF('District Allocation'!$A$2:$A$508,A102,'District Allocation'!$K$2:$K$508)</x:f>
        <x:v>15</x:v>
      </x:c>
      <x:c r="F102" s="23" t="n">
        <x:f>E102-D102</x:f>
        <x:v>0</x:v>
      </x:c>
      <x:c r="G102" t="str">
        <x:f>IF(ABS(F102)&lt;0.000001,"OK","CHECK")</x:f>
        <x:v>OK</x:v>
      </x:c>
    </x:row>
    <x:row r="103">
      <x:c r="A103" t="n">
        <x:v>103</x:v>
      </x:c>
      <x:c r="B103" t="str">
        <x:f>'PlantInfo'!A103</x:f>
        <x:v>Hydro</x:v>
      </x:c>
      <x:c r="C103" s="22" t="str">
        <x:f>'PlantInfo'!C103</x:f>
        <x:v>Lower Mettur I to IV Hydroelectric Power Project</x:v>
      </x:c>
      <x:c r="D103" s="23" t="n">
        <x:f>'PlantInfo'!G103</x:f>
        <x:v>15</x:v>
      </x:c>
      <x:c r="E103" s="23" t="n">
        <x:f>SUMIF('District Allocation'!$A$2:$A$508,A103,'District Allocation'!$K$2:$K$508)</x:f>
        <x:v>15</x:v>
      </x:c>
      <x:c r="F103" s="23" t="n">
        <x:f>E103-D103</x:f>
        <x:v>0</x:v>
      </x:c>
      <x:c r="G103" t="str">
        <x:f>IF(ABS(F103)&lt;0.000001,"OK","CHECK")</x:f>
        <x:v>OK</x:v>
      </x:c>
    </x:row>
    <x:row r="104">
      <x:c r="A104" t="n">
        <x:v>104</x:v>
      </x:c>
      <x:c r="B104" t="str">
        <x:f>'PlantInfo'!A104</x:f>
        <x:v>Hydro</x:v>
      </x:c>
      <x:c r="C104" s="22" t="str">
        <x:f>'PlantInfo'!C104</x:f>
        <x:v>Lower Mettur I to IV Hydroelectric Power Project</x:v>
      </x:c>
      <x:c r="D104" s="23" t="n">
        <x:f>'PlantInfo'!G104</x:f>
        <x:v>15</x:v>
      </x:c>
      <x:c r="E104" s="23" t="n">
        <x:f>SUMIF('District Allocation'!$A$2:$A$508,A104,'District Allocation'!$K$2:$K$508)</x:f>
        <x:v>15</x:v>
      </x:c>
      <x:c r="F104" s="23" t="n">
        <x:f>E104-D104</x:f>
        <x:v>0</x:v>
      </x:c>
      <x:c r="G104" t="str">
        <x:f>IF(ABS(F104)&lt;0.000001,"OK","CHECK")</x:f>
        <x:v>OK</x:v>
      </x:c>
    </x:row>
    <x:row r="105">
      <x:c r="A105" t="n">
        <x:v>105</x:v>
      </x:c>
      <x:c r="B105" t="str">
        <x:f>'PlantInfo'!A105</x:f>
        <x:v>Hydro</x:v>
      </x:c>
      <x:c r="C105" s="22" t="str">
        <x:f>'PlantInfo'!C105</x:f>
        <x:v>Lower Mettur I to IV Hydroelectric Power Project</x:v>
      </x:c>
      <x:c r="D105" s="23" t="n">
        <x:f>'PlantInfo'!G105</x:f>
        <x:v>15</x:v>
      </x:c>
      <x:c r="E105" s="23" t="n">
        <x:f>SUMIF('District Allocation'!$A$2:$A$508,A105,'District Allocation'!$K$2:$K$508)</x:f>
        <x:v>15</x:v>
      </x:c>
      <x:c r="F105" s="23" t="n">
        <x:f>E105-D105</x:f>
        <x:v>0</x:v>
      </x:c>
      <x:c r="G105" t="str">
        <x:f>IF(ABS(F105)&lt;0.000001,"OK","CHECK")</x:f>
        <x:v>OK</x:v>
      </x:c>
    </x:row>
    <x:row r="106">
      <x:c r="A106" t="n">
        <x:v>106</x:v>
      </x:c>
      <x:c r="B106" t="str">
        <x:f>'PlantInfo'!A106</x:f>
        <x:v>Hydro</x:v>
      </x:c>
      <x:c r="C106" s="22" t="str">
        <x:f>'PlantInfo'!C106</x:f>
        <x:v>Lower Mettur I to IV Hydroelectric Power Project</x:v>
      </x:c>
      <x:c r="D106" s="23" t="n">
        <x:f>'PlantInfo'!G106</x:f>
        <x:v>15</x:v>
      </x:c>
      <x:c r="E106" s="23" t="n">
        <x:f>SUMIF('District Allocation'!$A$2:$A$508,A106,'District Allocation'!$K$2:$K$508)</x:f>
        <x:v>15</x:v>
      </x:c>
      <x:c r="F106" s="23" t="n">
        <x:f>E106-D106</x:f>
        <x:v>0</x:v>
      </x:c>
      <x:c r="G106" t="str">
        <x:f>IF(ABS(F106)&lt;0.000001,"OK","CHECK")</x:f>
        <x:v>OK</x:v>
      </x:c>
    </x:row>
    <x:row r="107">
      <x:c r="A107" t="n">
        <x:v>107</x:v>
      </x:c>
      <x:c r="B107" t="str">
        <x:f>'PlantInfo'!A107</x:f>
        <x:v>Hydro</x:v>
      </x:c>
      <x:c r="C107" s="22" t="str">
        <x:f>'PlantInfo'!C107</x:f>
        <x:v>Lower Mettur I to IV Hydroelectric Power Project</x:v>
      </x:c>
      <x:c r="D107" s="23" t="n">
        <x:f>'PlantInfo'!G107</x:f>
        <x:v>15</x:v>
      </x:c>
      <x:c r="E107" s="23" t="n">
        <x:f>SUMIF('District Allocation'!$A$2:$A$508,A107,'District Allocation'!$K$2:$K$508)</x:f>
        <x:v>15</x:v>
      </x:c>
      <x:c r="F107" s="23" t="n">
        <x:f>E107-D107</x:f>
        <x:v>0</x:v>
      </x:c>
      <x:c r="G107" t="str">
        <x:f>IF(ABS(F107)&lt;0.000001,"OK","CHECK")</x:f>
        <x:v>OK</x:v>
      </x:c>
    </x:row>
    <x:row r="108">
      <x:c r="A108" t="n">
        <x:v>108</x:v>
      </x:c>
      <x:c r="B108" t="str">
        <x:f>'PlantInfo'!A108</x:f>
        <x:v>Hydro</x:v>
      </x:c>
      <x:c r="C108" s="22" t="str">
        <x:f>'PlantInfo'!C108</x:f>
        <x:v>Lower Mettur I to IV Hydroelectric Power Project</x:v>
      </x:c>
      <x:c r="D108" s="23" t="n">
        <x:f>'PlantInfo'!G108</x:f>
        <x:v>15</x:v>
      </x:c>
      <x:c r="E108" s="23" t="n">
        <x:f>SUMIF('District Allocation'!$A$2:$A$508,A108,'District Allocation'!$K$2:$K$508)</x:f>
        <x:v>15</x:v>
      </x:c>
      <x:c r="F108" s="23" t="n">
        <x:f>E108-D108</x:f>
        <x:v>0</x:v>
      </x:c>
      <x:c r="G108" t="str">
        <x:f>IF(ABS(F108)&lt;0.000001,"OK","CHECK")</x:f>
        <x:v>OK</x:v>
      </x:c>
    </x:row>
    <x:row r="109">
      <x:c r="A109" t="n">
        <x:v>109</x:v>
      </x:c>
      <x:c r="B109" t="str">
        <x:f>'PlantInfo'!A109</x:f>
        <x:v>Hydro</x:v>
      </x:c>
      <x:c r="C109" s="22" t="str">
        <x:f>'PlantInfo'!C109</x:f>
        <x:v>Lower Mettur I to IV Hydroelectric Power Project</x:v>
      </x:c>
      <x:c r="D109" s="23" t="n">
        <x:f>'PlantInfo'!G109</x:f>
        <x:v>15</x:v>
      </x:c>
      <x:c r="E109" s="23" t="n">
        <x:f>SUMIF('District Allocation'!$A$2:$A$508,A109,'District Allocation'!$K$2:$K$508)</x:f>
        <x:v>15</x:v>
      </x:c>
      <x:c r="F109" s="23" t="n">
        <x:f>E109-D109</x:f>
        <x:v>0</x:v>
      </x:c>
      <x:c r="G109" t="str">
        <x:f>IF(ABS(F109)&lt;0.000001,"OK","CHECK")</x:f>
        <x:v>OK</x:v>
      </x:c>
    </x:row>
    <x:row r="110">
      <x:c r="A110" t="n">
        <x:v>110</x:v>
      </x:c>
      <x:c r="B110" t="str">
        <x:f>'PlantInfo'!A110</x:f>
        <x:v>Hydro</x:v>
      </x:c>
      <x:c r="C110" s="22" t="str">
        <x:f>'PlantInfo'!C110</x:f>
        <x:v>Mettur Dam Hydroelectric Power Project</x:v>
      </x:c>
      <x:c r="D110" s="23" t="n">
        <x:f>'PlantInfo'!G110</x:f>
        <x:v>12.5</x:v>
      </x:c>
      <x:c r="E110" s="23" t="n">
        <x:f>SUMIF('District Allocation'!$A$2:$A$508,A110,'District Allocation'!$K$2:$K$508)</x:f>
        <x:v>12.5</x:v>
      </x:c>
      <x:c r="F110" s="23" t="n">
        <x:f>E110-D110</x:f>
        <x:v>0</x:v>
      </x:c>
      <x:c r="G110" t="str">
        <x:f>IF(ABS(F110)&lt;0.000001,"OK","CHECK")</x:f>
        <x:v>OK</x:v>
      </x:c>
    </x:row>
    <x:row r="111">
      <x:c r="A111" t="n">
        <x:v>111</x:v>
      </x:c>
      <x:c r="B111" t="str">
        <x:f>'PlantInfo'!A111</x:f>
        <x:v>Hydro</x:v>
      </x:c>
      <x:c r="C111" s="22" t="str">
        <x:f>'PlantInfo'!C111</x:f>
        <x:v>Mettur Dam Hydroelectric Power Project</x:v>
      </x:c>
      <x:c r="D111" s="23" t="n">
        <x:f>'PlantInfo'!G111</x:f>
        <x:v>12.5</x:v>
      </x:c>
      <x:c r="E111" s="23" t="n">
        <x:f>SUMIF('District Allocation'!$A$2:$A$508,A111,'District Allocation'!$K$2:$K$508)</x:f>
        <x:v>12.5</x:v>
      </x:c>
      <x:c r="F111" s="23" t="n">
        <x:f>E111-D111</x:f>
        <x:v>0</x:v>
      </x:c>
      <x:c r="G111" t="str">
        <x:f>IF(ABS(F111)&lt;0.000001,"OK","CHECK")</x:f>
        <x:v>OK</x:v>
      </x:c>
    </x:row>
    <x:row r="112">
      <x:c r="A112" t="n">
        <x:v>112</x:v>
      </x:c>
      <x:c r="B112" t="str">
        <x:f>'PlantInfo'!A112</x:f>
        <x:v>Hydro</x:v>
      </x:c>
      <x:c r="C112" s="22" t="str">
        <x:f>'PlantInfo'!C112</x:f>
        <x:v>Mettur Dam Hydroelectric Power Project</x:v>
      </x:c>
      <x:c r="D112" s="23" t="n">
        <x:f>'PlantInfo'!G112</x:f>
        <x:v>12.5</x:v>
      </x:c>
      <x:c r="E112" s="23" t="n">
        <x:f>SUMIF('District Allocation'!$A$2:$A$508,A112,'District Allocation'!$K$2:$K$508)</x:f>
        <x:v>12.5</x:v>
      </x:c>
      <x:c r="F112" s="23" t="n">
        <x:f>E112-D112</x:f>
        <x:v>0</x:v>
      </x:c>
      <x:c r="G112" t="str">
        <x:f>IF(ABS(F112)&lt;0.000001,"OK","CHECK")</x:f>
        <x:v>OK</x:v>
      </x:c>
    </x:row>
    <x:row r="113">
      <x:c r="A113" t="n">
        <x:v>113</x:v>
      </x:c>
      <x:c r="B113" t="str">
        <x:f>'PlantInfo'!A113</x:f>
        <x:v>Hydro</x:v>
      </x:c>
      <x:c r="C113" s="22" t="str">
        <x:f>'PlantInfo'!C113</x:f>
        <x:v>Mettur Dam Hydroelectric Power Project</x:v>
      </x:c>
      <x:c r="D113" s="23" t="n">
        <x:f>'PlantInfo'!G113</x:f>
        <x:v>12.5</x:v>
      </x:c>
      <x:c r="E113" s="23" t="n">
        <x:f>SUMIF('District Allocation'!$A$2:$A$508,A113,'District Allocation'!$K$2:$K$508)</x:f>
        <x:v>12.5</x:v>
      </x:c>
      <x:c r="F113" s="23" t="n">
        <x:f>E113-D113</x:f>
        <x:v>0</x:v>
      </x:c>
      <x:c r="G113" t="str">
        <x:f>IF(ABS(F113)&lt;0.000001,"OK","CHECK")</x:f>
        <x:v>OK</x:v>
      </x:c>
    </x:row>
    <x:row r="114">
      <x:c r="A114" t="n">
        <x:v>114</x:v>
      </x:c>
      <x:c r="B114" t="str">
        <x:f>'PlantInfo'!A114</x:f>
        <x:v>Hydro</x:v>
      </x:c>
      <x:c r="C114" s="22" t="str">
        <x:f>'PlantInfo'!C114</x:f>
        <x:v>Mettur Tunnel</x:v>
      </x:c>
      <x:c r="D114" s="23" t="n">
        <x:f>'PlantInfo'!G114</x:f>
        <x:v>50</x:v>
      </x:c>
      <x:c r="E114" s="23" t="n">
        <x:f>SUMIF('District Allocation'!$A$2:$A$508,A114,'District Allocation'!$K$2:$K$508)</x:f>
        <x:v>50</x:v>
      </x:c>
      <x:c r="F114" s="23" t="n">
        <x:f>E114-D114</x:f>
        <x:v>0</x:v>
      </x:c>
      <x:c r="G114" t="str">
        <x:f>IF(ABS(F114)&lt;0.000001,"OK","CHECK")</x:f>
        <x:v>OK</x:v>
      </x:c>
    </x:row>
    <x:row r="115">
      <x:c r="A115" t="n">
        <x:v>115</x:v>
      </x:c>
      <x:c r="B115" t="str">
        <x:f>'PlantInfo'!A115</x:f>
        <x:v>Hydro</x:v>
      </x:c>
      <x:c r="C115" s="22" t="str">
        <x:f>'PlantInfo'!C115</x:f>
        <x:v>Mettur Tunnel</x:v>
      </x:c>
      <x:c r="D115" s="23" t="n">
        <x:f>'PlantInfo'!G115</x:f>
        <x:v>50</x:v>
      </x:c>
      <x:c r="E115" s="23" t="n">
        <x:f>SUMIF('District Allocation'!$A$2:$A$508,A115,'District Allocation'!$K$2:$K$508)</x:f>
        <x:v>50</x:v>
      </x:c>
      <x:c r="F115" s="23" t="n">
        <x:f>E115-D115</x:f>
        <x:v>0</x:v>
      </x:c>
      <x:c r="G115" t="str">
        <x:f>IF(ABS(F115)&lt;0.000001,"OK","CHECK")</x:f>
        <x:v>OK</x:v>
      </x:c>
    </x:row>
    <x:row r="116">
      <x:c r="A116" t="n">
        <x:v>116</x:v>
      </x:c>
      <x:c r="B116" t="str">
        <x:f>'PlantInfo'!A116</x:f>
        <x:v>Hydro</x:v>
      </x:c>
      <x:c r="C116" s="22" t="str">
        <x:f>'PlantInfo'!C116</x:f>
        <x:v>Mettur Tunnel</x:v>
      </x:c>
      <x:c r="D116" s="23" t="n">
        <x:f>'PlantInfo'!G116</x:f>
        <x:v>50</x:v>
      </x:c>
      <x:c r="E116" s="23" t="n">
        <x:f>SUMIF('District Allocation'!$A$2:$A$508,A116,'District Allocation'!$K$2:$K$508)</x:f>
        <x:v>50</x:v>
      </x:c>
      <x:c r="F116" s="23" t="n">
        <x:f>E116-D116</x:f>
        <x:v>0</x:v>
      </x:c>
      <x:c r="G116" t="str">
        <x:f>IF(ABS(F116)&lt;0.000001,"OK","CHECK")</x:f>
        <x:v>OK</x:v>
      </x:c>
    </x:row>
    <x:row r="117">
      <x:c r="A117" t="n">
        <x:v>117</x:v>
      </x:c>
      <x:c r="B117" t="str">
        <x:f>'PlantInfo'!A117</x:f>
        <x:v>Hydro</x:v>
      </x:c>
      <x:c r="C117" s="22" t="str">
        <x:f>'PlantInfo'!C117</x:f>
        <x:v>Mettur Tunnel</x:v>
      </x:c>
      <x:c r="D117" s="23" t="n">
        <x:f>'PlantInfo'!G117</x:f>
        <x:v>50</x:v>
      </x:c>
      <x:c r="E117" s="23" t="n">
        <x:f>SUMIF('District Allocation'!$A$2:$A$508,A117,'District Allocation'!$K$2:$K$508)</x:f>
        <x:v>50</x:v>
      </x:c>
      <x:c r="F117" s="23" t="n">
        <x:f>E117-D117</x:f>
        <x:v>0</x:v>
      </x:c>
      <x:c r="G117" t="str">
        <x:f>IF(ABS(F117)&lt;0.000001,"OK","CHECK")</x:f>
        <x:v>OK</x:v>
      </x:c>
    </x:row>
    <x:row r="118">
      <x:c r="A118" t="n">
        <x:v>118</x:v>
      </x:c>
      <x:c r="B118" t="str">
        <x:f>'PlantInfo'!A118</x:f>
        <x:v>Hydro</x:v>
      </x:c>
      <x:c r="C118" s="22" t="str">
        <x:f>'PlantInfo'!C118</x:f>
        <x:v>Moyar Power House</x:v>
      </x:c>
      <x:c r="D118" s="23" t="n">
        <x:f>'PlantInfo'!G118</x:f>
        <x:v>14</x:v>
      </x:c>
      <x:c r="E118" s="23" t="n">
        <x:f>SUMIF('District Allocation'!$A$2:$A$508,A118,'District Allocation'!$K$2:$K$508)</x:f>
        <x:v>14</x:v>
      </x:c>
      <x:c r="F118" s="23" t="n">
        <x:f>E118-D118</x:f>
        <x:v>0</x:v>
      </x:c>
      <x:c r="G118" t="str">
        <x:f>IF(ABS(F118)&lt;0.000001,"OK","CHECK")</x:f>
        <x:v>OK</x:v>
      </x:c>
    </x:row>
    <x:row r="119">
      <x:c r="A119" t="n">
        <x:v>119</x:v>
      </x:c>
      <x:c r="B119" t="str">
        <x:f>'PlantInfo'!A119</x:f>
        <x:v>Hydro</x:v>
      </x:c>
      <x:c r="C119" s="22" t="str">
        <x:f>'PlantInfo'!C119</x:f>
        <x:v>Moyar Power House</x:v>
      </x:c>
      <x:c r="D119" s="23" t="n">
        <x:f>'PlantInfo'!G119</x:f>
        <x:v>14</x:v>
      </x:c>
      <x:c r="E119" s="23" t="n">
        <x:f>SUMIF('District Allocation'!$A$2:$A$508,A119,'District Allocation'!$K$2:$K$508)</x:f>
        <x:v>14</x:v>
      </x:c>
      <x:c r="F119" s="23" t="n">
        <x:f>E119-D119</x:f>
        <x:v>0</x:v>
      </x:c>
      <x:c r="G119" t="str">
        <x:f>IF(ABS(F119)&lt;0.000001,"OK","CHECK")</x:f>
        <x:v>OK</x:v>
      </x:c>
    </x:row>
    <x:row r="120">
      <x:c r="A120" t="n">
        <x:v>120</x:v>
      </x:c>
      <x:c r="B120" t="str">
        <x:f>'PlantInfo'!A120</x:f>
        <x:v>Hydro</x:v>
      </x:c>
      <x:c r="C120" s="22" t="str">
        <x:f>'PlantInfo'!C120</x:f>
        <x:v>Moyar Power House</x:v>
      </x:c>
      <x:c r="D120" s="23" t="n">
        <x:f>'PlantInfo'!G120</x:f>
        <x:v>12</x:v>
      </x:c>
      <x:c r="E120" s="23" t="n">
        <x:f>SUMIF('District Allocation'!$A$2:$A$508,A120,'District Allocation'!$K$2:$K$508)</x:f>
        <x:v>12</x:v>
      </x:c>
      <x:c r="F120" s="23" t="n">
        <x:f>E120-D120</x:f>
        <x:v>0</x:v>
      </x:c>
      <x:c r="G120" t="str">
        <x:f>IF(ABS(F120)&lt;0.000001,"OK","CHECK")</x:f>
        <x:v>OK</x:v>
      </x:c>
    </x:row>
    <x:row r="121">
      <x:c r="A121" t="n">
        <x:v>121</x:v>
      </x:c>
      <x:c r="B121" t="str">
        <x:f>'PlantInfo'!A121</x:f>
        <x:v>Hydro</x:v>
      </x:c>
      <x:c r="C121" s="22" t="str">
        <x:f>'PlantInfo'!C121</x:f>
        <x:v>Papanasam Hydroelectric Power Project</x:v>
      </x:c>
      <x:c r="D121" s="23" t="n">
        <x:f>'PlantInfo'!G121</x:f>
        <x:v>8</x:v>
      </x:c>
      <x:c r="E121" s="23" t="n">
        <x:f>SUMIF('District Allocation'!$A$2:$A$508,A121,'District Allocation'!$K$2:$K$508)</x:f>
        <x:v>8</x:v>
      </x:c>
      <x:c r="F121" s="23" t="n">
        <x:f>E121-D121</x:f>
        <x:v>0</x:v>
      </x:c>
      <x:c r="G121" t="str">
        <x:f>IF(ABS(F121)&lt;0.000001,"OK","CHECK")</x:f>
        <x:v>OK</x:v>
      </x:c>
    </x:row>
    <x:row r="122">
      <x:c r="A122" t="n">
        <x:v>122</x:v>
      </x:c>
      <x:c r="B122" t="str">
        <x:f>'PlantInfo'!A122</x:f>
        <x:v>Hydro</x:v>
      </x:c>
      <x:c r="C122" s="22" t="str">
        <x:f>'PlantInfo'!C122</x:f>
        <x:v>Papanasam Hydroelectric Power Project</x:v>
      </x:c>
      <x:c r="D122" s="23" t="n">
        <x:f>'PlantInfo'!G122</x:f>
        <x:v>8</x:v>
      </x:c>
      <x:c r="E122" s="23" t="n">
        <x:f>SUMIF('District Allocation'!$A$2:$A$508,A122,'District Allocation'!$K$2:$K$508)</x:f>
        <x:v>8</x:v>
      </x:c>
      <x:c r="F122" s="23" t="n">
        <x:f>E122-D122</x:f>
        <x:v>0</x:v>
      </x:c>
      <x:c r="G122" t="str">
        <x:f>IF(ABS(F122)&lt;0.000001,"OK","CHECK")</x:f>
        <x:v>OK</x:v>
      </x:c>
    </x:row>
    <x:row r="123">
      <x:c r="A123" t="n">
        <x:v>123</x:v>
      </x:c>
      <x:c r="B123" t="str">
        <x:f>'PlantInfo'!A123</x:f>
        <x:v>Hydro</x:v>
      </x:c>
      <x:c r="C123" s="22" t="str">
        <x:f>'PlantInfo'!C123</x:f>
        <x:v>Papanasam Hydroelectric Power Project</x:v>
      </x:c>
      <x:c r="D123" s="23" t="n">
        <x:f>'PlantInfo'!G123</x:f>
        <x:v>8</x:v>
      </x:c>
      <x:c r="E123" s="23" t="n">
        <x:f>SUMIF('District Allocation'!$A$2:$A$508,A123,'District Allocation'!$K$2:$K$508)</x:f>
        <x:v>8</x:v>
      </x:c>
      <x:c r="F123" s="23" t="n">
        <x:f>E123-D123</x:f>
        <x:v>0</x:v>
      </x:c>
      <x:c r="G123" t="str">
        <x:f>IF(ABS(F123)&lt;0.000001,"OK","CHECK")</x:f>
        <x:v>OK</x:v>
      </x:c>
    </x:row>
    <x:row r="124">
      <x:c r="A124" t="n">
        <x:v>124</x:v>
      </x:c>
      <x:c r="B124" t="str">
        <x:f>'PlantInfo'!A124</x:f>
        <x:v>Hydro</x:v>
      </x:c>
      <x:c r="C124" s="22" t="str">
        <x:f>'PlantInfo'!C124</x:f>
        <x:v>Papanasam Hydroelectric Power Project</x:v>
      </x:c>
      <x:c r="D124" s="23" t="n">
        <x:f>'PlantInfo'!G124</x:f>
        <x:v>8</x:v>
      </x:c>
      <x:c r="E124" s="23" t="n">
        <x:f>SUMIF('District Allocation'!$A$2:$A$508,A124,'District Allocation'!$K$2:$K$508)</x:f>
        <x:v>8</x:v>
      </x:c>
      <x:c r="F124" s="23" t="n">
        <x:f>E124-D124</x:f>
        <x:v>0</x:v>
      </x:c>
      <x:c r="G124" t="str">
        <x:f>IF(ABS(F124)&lt;0.000001,"OK","CHECK")</x:f>
        <x:v>OK</x:v>
      </x:c>
    </x:row>
    <x:row r="125">
      <x:c r="A125" t="n">
        <x:v>125</x:v>
      </x:c>
      <x:c r="B125" t="str">
        <x:f>'PlantInfo'!A125</x:f>
        <x:v>Hydro</x:v>
      </x:c>
      <x:c r="C125" s="22" t="str">
        <x:f>'PlantInfo'!C125</x:f>
        <x:v>Parson's Valley Hydroelectric Power Project</x:v>
      </x:c>
      <x:c r="D125" s="23" t="n">
        <x:f>'PlantInfo'!G125</x:f>
        <x:v>30</x:v>
      </x:c>
      <x:c r="E125" s="23" t="n">
        <x:f>SUMIF('District Allocation'!$A$2:$A$508,A125,'District Allocation'!$K$2:$K$508)</x:f>
        <x:v>30</x:v>
      </x:c>
      <x:c r="F125" s="23" t="n">
        <x:f>E125-D125</x:f>
        <x:v>0</x:v>
      </x:c>
      <x:c r="G125" t="str">
        <x:f>IF(ABS(F125)&lt;0.000001,"OK","CHECK")</x:f>
        <x:v>OK</x:v>
      </x:c>
    </x:row>
    <x:row r="126">
      <x:c r="A126" t="n">
        <x:v>126</x:v>
      </x:c>
      <x:c r="B126" t="str">
        <x:f>'PlantInfo'!A126</x:f>
        <x:v>Hydro</x:v>
      </x:c>
      <x:c r="C126" s="22" t="str">
        <x:f>'PlantInfo'!C126</x:f>
        <x:v>Periyar Hydroelectric Power Project</x:v>
      </x:c>
      <x:c r="D126" s="23" t="n">
        <x:f>'PlantInfo'!G126</x:f>
        <x:v>42</x:v>
      </x:c>
      <x:c r="E126" s="23" t="n">
        <x:f>SUMIF('District Allocation'!$A$2:$A$508,A126,'District Allocation'!$K$2:$K$508)</x:f>
        <x:v>42</x:v>
      </x:c>
      <x:c r="F126" s="23" t="n">
        <x:f>E126-D126</x:f>
        <x:v>0</x:v>
      </x:c>
      <x:c r="G126" t="str">
        <x:f>IF(ABS(F126)&lt;0.000001,"OK","CHECK")</x:f>
        <x:v>OK</x:v>
      </x:c>
    </x:row>
    <x:row r="127">
      <x:c r="A127" t="n">
        <x:v>127</x:v>
      </x:c>
      <x:c r="B127" t="str">
        <x:f>'PlantInfo'!A127</x:f>
        <x:v>Hydro</x:v>
      </x:c>
      <x:c r="C127" s="22" t="str">
        <x:f>'PlantInfo'!C127</x:f>
        <x:v>Periyar Hydroelectric Power Project</x:v>
      </x:c>
      <x:c r="D127" s="23" t="n">
        <x:f>'PlantInfo'!G127</x:f>
        <x:v>42</x:v>
      </x:c>
      <x:c r="E127" s="23" t="n">
        <x:f>SUMIF('District Allocation'!$A$2:$A$508,A127,'District Allocation'!$K$2:$K$508)</x:f>
        <x:v>42</x:v>
      </x:c>
      <x:c r="F127" s="23" t="n">
        <x:f>E127-D127</x:f>
        <x:v>0</x:v>
      </x:c>
      <x:c r="G127" t="str">
        <x:f>IF(ABS(F127)&lt;0.000001,"OK","CHECK")</x:f>
        <x:v>OK</x:v>
      </x:c>
    </x:row>
    <x:row r="128">
      <x:c r="A128" t="n">
        <x:v>128</x:v>
      </x:c>
      <x:c r="B128" t="str">
        <x:f>'PlantInfo'!A128</x:f>
        <x:v>Hydro</x:v>
      </x:c>
      <x:c r="C128" s="22" t="str">
        <x:f>'PlantInfo'!C128</x:f>
        <x:v>Periyar Hydroelectric Power Project</x:v>
      </x:c>
      <x:c r="D128" s="23" t="n">
        <x:f>'PlantInfo'!G128</x:f>
        <x:v>42</x:v>
      </x:c>
      <x:c r="E128" s="23" t="n">
        <x:f>SUMIF('District Allocation'!$A$2:$A$508,A128,'District Allocation'!$K$2:$K$508)</x:f>
        <x:v>42</x:v>
      </x:c>
      <x:c r="F128" s="23" t="n">
        <x:f>E128-D128</x:f>
        <x:v>0</x:v>
      </x:c>
      <x:c r="G128" t="str">
        <x:f>IF(ABS(F128)&lt;0.000001,"OK","CHECK")</x:f>
        <x:v>OK</x:v>
      </x:c>
    </x:row>
    <x:row r="129">
      <x:c r="A129" t="n">
        <x:v>129</x:v>
      </x:c>
      <x:c r="B129" t="str">
        <x:f>'PlantInfo'!A129</x:f>
        <x:v>Hydro</x:v>
      </x:c>
      <x:c r="C129" s="22" t="str">
        <x:f>'PlantInfo'!C129</x:f>
        <x:v>Periyar Hydroelectric Power Project</x:v>
      </x:c>
      <x:c r="D129" s="23" t="n">
        <x:f>'PlantInfo'!G129</x:f>
        <x:v>42</x:v>
      </x:c>
      <x:c r="E129" s="23" t="n">
        <x:f>SUMIF('District Allocation'!$A$2:$A$508,A129,'District Allocation'!$K$2:$K$508)</x:f>
        <x:v>42</x:v>
      </x:c>
      <x:c r="F129" s="23" t="n">
        <x:f>E129-D129</x:f>
        <x:v>0</x:v>
      </x:c>
      <x:c r="G129" t="str">
        <x:f>IF(ABS(F129)&lt;0.000001,"OK","CHECK")</x:f>
        <x:v>OK</x:v>
      </x:c>
    </x:row>
    <x:row r="130">
      <x:c r="A130" t="n">
        <x:v>130</x:v>
      </x:c>
      <x:c r="B130" t="str">
        <x:f>'PlantInfo'!A130</x:f>
        <x:v>Hydro</x:v>
      </x:c>
      <x:c r="C130" s="22" t="str">
        <x:f>'PlantInfo'!C130</x:f>
        <x:v>Pykara Hydroelectric Power Project</x:v>
      </x:c>
      <x:c r="D130" s="23" t="n">
        <x:f>'PlantInfo'!G130</x:f>
        <x:v>7</x:v>
      </x:c>
      <x:c r="E130" s="23" t="n">
        <x:f>SUMIF('District Allocation'!$A$2:$A$508,A130,'District Allocation'!$K$2:$K$508)</x:f>
        <x:v>7</x:v>
      </x:c>
      <x:c r="F130" s="23" t="n">
        <x:f>E130-D130</x:f>
        <x:v>0</x:v>
      </x:c>
      <x:c r="G130" t="str">
        <x:f>IF(ABS(F130)&lt;0.000001,"OK","CHECK")</x:f>
        <x:v>OK</x:v>
      </x:c>
    </x:row>
    <x:row r="131">
      <x:c r="A131" t="n">
        <x:v>131</x:v>
      </x:c>
      <x:c r="B131" t="str">
        <x:f>'PlantInfo'!A131</x:f>
        <x:v>Hydro</x:v>
      </x:c>
      <x:c r="C131" s="22" t="str">
        <x:f>'PlantInfo'!C131</x:f>
        <x:v>Pykara Hydroelectric Power Project</x:v>
      </x:c>
      <x:c r="D131" s="23" t="n">
        <x:f>'PlantInfo'!G131</x:f>
        <x:v>7</x:v>
      </x:c>
      <x:c r="E131" s="23" t="n">
        <x:f>SUMIF('District Allocation'!$A$2:$A$508,A131,'District Allocation'!$K$2:$K$508)</x:f>
        <x:v>7</x:v>
      </x:c>
      <x:c r="F131" s="23" t="n">
        <x:f>E131-D131</x:f>
        <x:v>0</x:v>
      </x:c>
      <x:c r="G131" t="str">
        <x:f>IF(ABS(F131)&lt;0.000001,"OK","CHECK")</x:f>
        <x:v>OK</x:v>
      </x:c>
    </x:row>
    <x:row r="132">
      <x:c r="A132" t="n">
        <x:v>132</x:v>
      </x:c>
      <x:c r="B132" t="str">
        <x:f>'PlantInfo'!A132</x:f>
        <x:v>Hydro</x:v>
      </x:c>
      <x:c r="C132" s="22" t="str">
        <x:f>'PlantInfo'!C132</x:f>
        <x:v>Pykara Hydroelectric Power Project</x:v>
      </x:c>
      <x:c r="D132" s="23" t="n">
        <x:f>'PlantInfo'!G132</x:f>
        <x:v>7</x:v>
      </x:c>
      <x:c r="E132" s="23" t="n">
        <x:f>SUMIF('District Allocation'!$A$2:$A$508,A132,'District Allocation'!$K$2:$K$508)</x:f>
        <x:v>7</x:v>
      </x:c>
      <x:c r="F132" s="23" t="n">
        <x:f>E132-D132</x:f>
        <x:v>0</x:v>
      </x:c>
      <x:c r="G132" t="str">
        <x:f>IF(ABS(F132)&lt;0.000001,"OK","CHECK")</x:f>
        <x:v>OK</x:v>
      </x:c>
    </x:row>
    <x:row r="133">
      <x:c r="A133" t="n">
        <x:v>133</x:v>
      </x:c>
      <x:c r="B133" t="str">
        <x:f>'PlantInfo'!A133</x:f>
        <x:v>Hydro</x:v>
      </x:c>
      <x:c r="C133" s="22" t="str">
        <x:f>'PlantInfo'!C133</x:f>
        <x:v>Pykara Hydroelectric Power Project</x:v>
      </x:c>
      <x:c r="D133" s="23" t="n">
        <x:f>'PlantInfo'!G133</x:f>
        <x:v>13.6</x:v>
      </x:c>
      <x:c r="E133" s="23" t="n">
        <x:f>SUMIF('District Allocation'!$A$2:$A$508,A133,'District Allocation'!$K$2:$K$508)</x:f>
        <x:v>13.6</x:v>
      </x:c>
      <x:c r="F133" s="23" t="n">
        <x:f>E133-D133</x:f>
        <x:v>0</x:v>
      </x:c>
      <x:c r="G133" t="str">
        <x:f>IF(ABS(F133)&lt;0.000001,"OK","CHECK")</x:f>
        <x:v>OK</x:v>
      </x:c>
    </x:row>
    <x:row r="134">
      <x:c r="A134" t="n">
        <x:v>134</x:v>
      </x:c>
      <x:c r="B134" t="str">
        <x:f>'PlantInfo'!A134</x:f>
        <x:v>Hydro</x:v>
      </x:c>
      <x:c r="C134" s="22" t="str">
        <x:f>'PlantInfo'!C134</x:f>
        <x:v>Pykara Hydroelectric Power Project</x:v>
      </x:c>
      <x:c r="D134" s="23" t="n">
        <x:f>'PlantInfo'!G134</x:f>
        <x:v>13.6</x:v>
      </x:c>
      <x:c r="E134" s="23" t="n">
        <x:f>SUMIF('District Allocation'!$A$2:$A$508,A134,'District Allocation'!$K$2:$K$508)</x:f>
        <x:v>13.6</x:v>
      </x:c>
      <x:c r="F134" s="23" t="n">
        <x:f>E134-D134</x:f>
        <x:v>0</x:v>
      </x:c>
      <x:c r="G134" t="str">
        <x:f>IF(ABS(F134)&lt;0.000001,"OK","CHECK")</x:f>
        <x:v>OK</x:v>
      </x:c>
    </x:row>
    <x:row r="135">
      <x:c r="A135" t="n">
        <x:v>135</x:v>
      </x:c>
      <x:c r="B135" t="str">
        <x:f>'PlantInfo'!A135</x:f>
        <x:v>Hydro</x:v>
      </x:c>
      <x:c r="C135" s="22" t="str">
        <x:f>'PlantInfo'!C135</x:f>
        <x:v>Pykara Hydroelectric Power Project</x:v>
      </x:c>
      <x:c r="D135" s="23" t="n">
        <x:f>'PlantInfo'!G135</x:f>
        <x:v>11</x:v>
      </x:c>
      <x:c r="E135" s="23" t="n">
        <x:f>SUMIF('District Allocation'!$A$2:$A$508,A135,'District Allocation'!$K$2:$K$508)</x:f>
        <x:v>11</x:v>
      </x:c>
      <x:c r="F135" s="23" t="n">
        <x:f>E135-D135</x:f>
        <x:v>0</x:v>
      </x:c>
      <x:c r="G135" t="str">
        <x:f>IF(ABS(F135)&lt;0.000001,"OK","CHECK")</x:f>
        <x:v>OK</x:v>
      </x:c>
    </x:row>
    <x:row r="136">
      <x:c r="A136" t="n">
        <x:v>136</x:v>
      </x:c>
      <x:c r="B136" t="str">
        <x:f>'PlantInfo'!A136</x:f>
        <x:v>Hydro</x:v>
      </x:c>
      <x:c r="C136" s="22" t="str">
        <x:f>'PlantInfo'!C136</x:f>
        <x:v>Pykara Ultimate Hydroelectric Power Project</x:v>
      </x:c>
      <x:c r="D136" s="23" t="n">
        <x:f>'PlantInfo'!G136</x:f>
        <x:v>50</x:v>
      </x:c>
      <x:c r="E136" s="23" t="n">
        <x:f>SUMIF('District Allocation'!$A$2:$A$508,A136,'District Allocation'!$K$2:$K$508)</x:f>
        <x:v>50</x:v>
      </x:c>
      <x:c r="F136" s="23" t="n">
        <x:f>E136-D136</x:f>
        <x:v>0</x:v>
      </x:c>
      <x:c r="G136" t="str">
        <x:f>IF(ABS(F136)&lt;0.000001,"OK","CHECK")</x:f>
        <x:v>OK</x:v>
      </x:c>
    </x:row>
    <x:row r="137">
      <x:c r="A137" t="n">
        <x:v>137</x:v>
      </x:c>
      <x:c r="B137" t="str">
        <x:f>'PlantInfo'!A137</x:f>
        <x:v>Hydro</x:v>
      </x:c>
      <x:c r="C137" s="22" t="str">
        <x:f>'PlantInfo'!C137</x:f>
        <x:v>Pykara Ultimate Hydroelectric Power Project</x:v>
      </x:c>
      <x:c r="D137" s="23" t="n">
        <x:f>'PlantInfo'!G137</x:f>
        <x:v>50</x:v>
      </x:c>
      <x:c r="E137" s="23" t="n">
        <x:f>SUMIF('District Allocation'!$A$2:$A$508,A137,'District Allocation'!$K$2:$K$508)</x:f>
        <x:v>50</x:v>
      </x:c>
      <x:c r="F137" s="23" t="n">
        <x:f>E137-D137</x:f>
        <x:v>0</x:v>
      </x:c>
      <x:c r="G137" t="str">
        <x:f>IF(ABS(F137)&lt;0.000001,"OK","CHECK")</x:f>
        <x:v>OK</x:v>
      </x:c>
    </x:row>
    <x:row r="138">
      <x:c r="A138" t="n">
        <x:v>138</x:v>
      </x:c>
      <x:c r="B138" t="str">
        <x:f>'PlantInfo'!A138</x:f>
        <x:v>Hydro</x:v>
      </x:c>
      <x:c r="C138" s="22" t="str">
        <x:f>'PlantInfo'!C138</x:f>
        <x:v>Pykara Ultimate Hydroelectric Power Project</x:v>
      </x:c>
      <x:c r="D138" s="23" t="n">
        <x:f>'PlantInfo'!G138</x:f>
        <x:v>50</x:v>
      </x:c>
      <x:c r="E138" s="23" t="n">
        <x:f>SUMIF('District Allocation'!$A$2:$A$508,A138,'District Allocation'!$K$2:$K$508)</x:f>
        <x:v>50</x:v>
      </x:c>
      <x:c r="F138" s="23" t="n">
        <x:f>E138-D138</x:f>
        <x:v>0</x:v>
      </x:c>
      <x:c r="G138" t="str">
        <x:f>IF(ABS(F138)&lt;0.000001,"OK","CHECK")</x:f>
        <x:v>OK</x:v>
      </x:c>
    </x:row>
    <x:row r="139">
      <x:c r="A139" t="n">
        <x:v>139</x:v>
      </x:c>
      <x:c r="B139" t="str">
        <x:f>'PlantInfo'!A139</x:f>
        <x:v>Hydro</x:v>
      </x:c>
      <x:c r="C139" s="22" t="str">
        <x:f>'PlantInfo'!C139</x:f>
        <x:v>Sarkarpathy Hydroelectric Power Project</x:v>
      </x:c>
      <x:c r="D139" s="23" t="n">
        <x:f>'PlantInfo'!G139</x:f>
        <x:v>30</x:v>
      </x:c>
      <x:c r="E139" s="23" t="n">
        <x:f>SUMIF('District Allocation'!$A$2:$A$508,A139,'District Allocation'!$K$2:$K$508)</x:f>
        <x:v>30</x:v>
      </x:c>
      <x:c r="F139" s="23" t="n">
        <x:f>E139-D139</x:f>
        <x:v>0</x:v>
      </x:c>
      <x:c r="G139" t="str">
        <x:f>IF(ABS(F139)&lt;0.000001,"OK","CHECK")</x:f>
        <x:v>OK</x:v>
      </x:c>
    </x:row>
    <x:row r="140">
      <x:c r="A140" t="n">
        <x:v>140</x:v>
      </x:c>
      <x:c r="B140" t="str">
        <x:f>'PlantInfo'!A140</x:f>
        <x:v>Hydro</x:v>
      </x:c>
      <x:c r="C140" s="22" t="str">
        <x:f>'PlantInfo'!C140</x:f>
        <x:v>Sholayar I Power House</x:v>
      </x:c>
      <x:c r="D140" s="23" t="n">
        <x:f>'PlantInfo'!G140</x:f>
        <x:v>42</x:v>
      </x:c>
      <x:c r="E140" s="23" t="n">
        <x:f>SUMIF('District Allocation'!$A$2:$A$508,A140,'District Allocation'!$K$2:$K$508)</x:f>
        <x:v>42</x:v>
      </x:c>
      <x:c r="F140" s="23" t="n">
        <x:f>E140-D140</x:f>
        <x:v>0</x:v>
      </x:c>
      <x:c r="G140" t="str">
        <x:f>IF(ABS(F140)&lt;0.000001,"OK","CHECK")</x:f>
        <x:v>OK</x:v>
      </x:c>
    </x:row>
    <x:row r="141">
      <x:c r="A141" t="n">
        <x:v>141</x:v>
      </x:c>
      <x:c r="B141" t="str">
        <x:f>'PlantInfo'!A141</x:f>
        <x:v>Hydro</x:v>
      </x:c>
      <x:c r="C141" s="22" t="str">
        <x:f>'PlantInfo'!C141</x:f>
        <x:v>Sholayar I Power House</x:v>
      </x:c>
      <x:c r="D141" s="23" t="n">
        <x:f>'PlantInfo'!G141</x:f>
        <x:v>42</x:v>
      </x:c>
      <x:c r="E141" s="23" t="n">
        <x:f>SUMIF('District Allocation'!$A$2:$A$508,A141,'District Allocation'!$K$2:$K$508)</x:f>
        <x:v>42</x:v>
      </x:c>
      <x:c r="F141" s="23" t="n">
        <x:f>E141-D141</x:f>
        <x:v>0</x:v>
      </x:c>
      <x:c r="G141" t="str">
        <x:f>IF(ABS(F141)&lt;0.000001,"OK","CHECK")</x:f>
        <x:v>OK</x:v>
      </x:c>
    </x:row>
    <x:row r="142">
      <x:c r="A142" t="n">
        <x:v>142</x:v>
      </x:c>
      <x:c r="B142" t="str">
        <x:f>'PlantInfo'!A142</x:f>
        <x:v>Hydro</x:v>
      </x:c>
      <x:c r="C142" s="22" t="str">
        <x:f>'PlantInfo'!C142</x:f>
        <x:v>Suruliyar Hydroelectric Power Project</x:v>
      </x:c>
      <x:c r="D142" s="23" t="n">
        <x:f>'PlantInfo'!G142</x:f>
        <x:v>35</x:v>
      </x:c>
      <x:c r="E142" s="23" t="n">
        <x:f>SUMIF('District Allocation'!$A$2:$A$508,A142,'District Allocation'!$K$2:$K$508)</x:f>
        <x:v>35</x:v>
      </x:c>
      <x:c r="F142" s="23" t="n">
        <x:f>E142-D142</x:f>
        <x:v>0</x:v>
      </x:c>
      <x:c r="G142" t="str">
        <x:f>IF(ABS(F142)&lt;0.000001,"OK","CHECK")</x:f>
        <x:v>OK</x:v>
      </x:c>
    </x:row>
    <x:row r="143">
      <x:c r="A143" t="n">
        <x:v>143</x:v>
      </x:c>
      <x:c r="B143" t="str">
        <x:f>'PlantInfo'!A143</x:f>
        <x:v>Wind</x:v>
      </x:c>
      <x:c r="C143" s="22" t="str">
        <x:f>'PlantInfo'!C143</x:f>
        <x:v>151 MW SJVN Wind Palayam Green Shoe Tamil Nadu Karur</x:v>
      </x:c>
      <x:c r="D143" s="23" t="n">
        <x:f>'PlantInfo'!G143</x:f>
        <x:v>151.2</x:v>
      </x:c>
      <x:c r="E143" s="23" t="n">
        <x:f>SUMIF('District Allocation'!$A$2:$A$508,A143,'District Allocation'!$K$2:$K$508)</x:f>
        <x:v>151.2</x:v>
      </x:c>
      <x:c r="F143" s="23" t="n">
        <x:f>E143-D143</x:f>
        <x:v>0</x:v>
      </x:c>
      <x:c r="G143" t="str">
        <x:f>IF(ABS(F143)&lt;0.000001,"OK","CHECK")</x:f>
        <x:v>OK</x:v>
      </x:c>
    </x:row>
    <x:row r="144">
      <x:c r="A144" t="n">
        <x:v>144</x:v>
      </x:c>
      <x:c r="B144" t="str">
        <x:f>'PlantInfo'!A144</x:f>
        <x:v>Wind</x:v>
      </x:c>
      <x:c r="C144" s="22" t="str">
        <x:f>'PlantInfo'!C144</x:f>
        <x:v>151.2 MW Wind SJVN FDRE Basis LOA Tamil Nadu Karur</x:v>
      </x:c>
      <x:c r="D144" s="23" t="n">
        <x:f>'PlantInfo'!G144</x:f>
        <x:v>151.2</x:v>
      </x:c>
      <x:c r="E144" s="23" t="n">
        <x:f>SUMIF('District Allocation'!$A$2:$A$508,A144,'District Allocation'!$K$2:$K$508)</x:f>
        <x:v>151.2</x:v>
      </x:c>
      <x:c r="F144" s="23" t="n">
        <x:f>E144-D144</x:f>
        <x:v>0</x:v>
      </x:c>
      <x:c r="G144" t="str">
        <x:f>IF(ABS(F144)&lt;0.000001,"OK","CHECK")</x:f>
        <x:v>OK</x:v>
      </x:c>
    </x:row>
    <x:row r="145">
      <x:c r="A145" t="n">
        <x:v>145</x:v>
      </x:c>
      <x:c r="B145" t="str">
        <x:f>'PlantInfo'!A145</x:f>
        <x:v>Wind</x:v>
      </x:c>
      <x:c r="C145" s="22" t="str">
        <x:f>'PlantInfo'!C145</x:f>
        <x:v>82.5 MW NTPC FDRE Wind Tamil Nadu Karur</x:v>
      </x:c>
      <x:c r="D145" s="23" t="n">
        <x:f>'PlantInfo'!G145</x:f>
        <x:v>82.5</x:v>
      </x:c>
      <x:c r="E145" s="23" t="n">
        <x:f>SUMIF('District Allocation'!$A$2:$A$508,A145,'District Allocation'!$K$2:$K$508)</x:f>
        <x:v>82.5</x:v>
      </x:c>
      <x:c r="F145" s="23" t="n">
        <x:f>E145-D145</x:f>
        <x:v>0</x:v>
      </x:c>
      <x:c r="G145" t="str">
        <x:f>IF(ABS(F145)&lt;0.000001,"OK","CHECK")</x:f>
        <x:v>OK</x:v>
      </x:c>
    </x:row>
    <x:row r="146">
      <x:c r="A146" t="n">
        <x:v>146</x:v>
      </x:c>
      <x:c r="B146" t="str">
        <x:f>'PlantInfo'!A146</x:f>
        <x:v>Wind</x:v>
      </x:c>
      <x:c r="C146" s="22" t="str">
        <x:f>'PlantInfo'!C146</x:f>
        <x:v>93.6 MW Karur - SJVN FDRE Green Shoe Tamil Nadu Karur</x:v>
      </x:c>
      <x:c r="D146" s="23" t="n">
        <x:f>'PlantInfo'!G146</x:f>
        <x:v>93.6</x:v>
      </x:c>
      <x:c r="E146" s="23" t="n">
        <x:f>SUMIF('District Allocation'!$A$2:$A$508,A146,'District Allocation'!$K$2:$K$508)</x:f>
        <x:v>93.6</x:v>
      </x:c>
      <x:c r="F146" s="23" t="n">
        <x:f>E146-D146</x:f>
        <x:v>0</x:v>
      </x:c>
      <x:c r="G146" t="str">
        <x:f>IF(ABS(F146)&lt;0.000001,"OK","CHECK")</x:f>
        <x:v>OK</x:v>
      </x:c>
    </x:row>
    <x:row r="147">
      <x:c r="A147" t="n">
        <x:v>147</x:v>
      </x:c>
      <x:c r="B147" t="str">
        <x:f>'PlantInfo'!A147</x:f>
        <x:v>Wind</x:v>
      </x:c>
      <x:c r="C147" s="22" t="str">
        <x:f>'PlantInfo'!C147</x:f>
        <x:v>Amplus Sun Beat Private Limited Tamil Nadu Karur</x:v>
      </x:c>
      <x:c r="D147" s="23" t="n">
        <x:f>'PlantInfo'!G147</x:f>
        <x:v>80</x:v>
      </x:c>
      <x:c r="E147" s="23" t="n">
        <x:f>SUMIF('District Allocation'!$A$2:$A$508,A147,'District Allocation'!$K$2:$K$508)</x:f>
        <x:v>80</x:v>
      </x:c>
      <x:c r="F147" s="23" t="n">
        <x:f>E147-D147</x:f>
        <x:v>0</x:v>
      </x:c>
      <x:c r="G147" t="str">
        <x:f>IF(ABS(F147)&lt;0.000001,"OK","CHECK")</x:f>
        <x:v>OK</x:v>
      </x:c>
    </x:row>
    <x:row r="148">
      <x:c r="A148" t="n">
        <x:v>148</x:v>
      </x:c>
      <x:c r="B148" t="str">
        <x:f>'PlantInfo'!A148</x:f>
        <x:v>Wind</x:v>
      </x:c>
      <x:c r="C148" s="22" t="str">
        <x:f>'PlantInfo'!C148</x:f>
        <x:v>Amplus Theta Energy Private Limited Tamil Nadu Karur</x:v>
      </x:c>
      <x:c r="D148" s="23" t="n">
        <x:f>'PlantInfo'!G148</x:f>
        <x:v>65</x:v>
      </x:c>
      <x:c r="E148" s="23" t="n">
        <x:f>SUMIF('District Allocation'!$A$2:$A$508,A148,'District Allocation'!$K$2:$K$508)</x:f>
        <x:v>65</x:v>
      </x:c>
      <x:c r="F148" s="23" t="n">
        <x:f>E148-D148</x:f>
        <x:v>0</x:v>
      </x:c>
      <x:c r="G148" t="str">
        <x:f>IF(ABS(F148)&lt;0.000001,"OK","CHECK")</x:f>
        <x:v>OK</x:v>
      </x:c>
    </x:row>
    <x:row r="149">
      <x:c r="A149" t="n">
        <x:v>149</x:v>
      </x:c>
      <x:c r="B149" t="str">
        <x:f>'PlantInfo'!A149</x:f>
        <x:v>Wind</x:v>
      </x:c>
      <x:c r="C149" s="22" t="str">
        <x:f>'PlantInfo'!C149</x:f>
        <x:v>Jindal Renewables - Wind Project - C&amp;I Tamil Nadu Karur</x:v>
      </x:c>
      <x:c r="D149" s="23" t="n">
        <x:f>'PlantInfo'!G149</x:f>
        <x:v>300</x:v>
      </x:c>
      <x:c r="E149" s="23" t="n">
        <x:f>SUMIF('District Allocation'!$A$2:$A$508,A149,'District Allocation'!$K$2:$K$508)</x:f>
        <x:v>300</x:v>
      </x:c>
      <x:c r="F149" s="23" t="n">
        <x:f>E149-D149</x:f>
        <x:v>0</x:v>
      </x:c>
      <x:c r="G149" t="str">
        <x:f>IF(ABS(F149)&lt;0.000001,"OK","CHECK")</x:f>
        <x:v>OK</x:v>
      </x:c>
    </x:row>
    <x:row r="150">
      <x:c r="A150" t="n">
        <x:v>150</x:v>
      </x:c>
      <x:c r="B150" t="str">
        <x:f>'PlantInfo'!A150</x:f>
        <x:v>Wind</x:v>
      </x:c>
      <x:c r="C150" s="22" t="str">
        <x:f>'PlantInfo'!C150</x:f>
        <x:v>Jindal Renewables - Wind Project - C&amp;I Tamil Nadu Karur</x:v>
      </x:c>
      <x:c r="D150" s="23" t="n">
        <x:f>'PlantInfo'!G150</x:f>
        <x:v>50</x:v>
      </x:c>
      <x:c r="E150" s="23" t="n">
        <x:f>SUMIF('District Allocation'!$A$2:$A$508,A150,'District Allocation'!$K$2:$K$508)</x:f>
        <x:v>50</x:v>
      </x:c>
      <x:c r="F150" s="23" t="n">
        <x:f>E150-D150</x:f>
        <x:v>0</x:v>
      </x:c>
      <x:c r="G150" t="str">
        <x:f>IF(ABS(F150)&lt;0.000001,"OK","CHECK")</x:f>
        <x:v>OK</x:v>
      </x:c>
    </x:row>
    <x:row r="151">
      <x:c r="A151" t="n">
        <x:v>151</x:v>
      </x:c>
      <x:c r="B151" t="str">
        <x:f>'PlantInfo'!A151</x:f>
        <x:v>Wind</x:v>
      </x:c>
      <x:c r="C151" s="22" t="str">
        <x:f>'PlantInfo'!C151</x:f>
        <x:v>Tamil Nadu-Ariyalur</x:v>
      </x:c>
      <x:c r="D151" s="23" t="n">
        <x:f>'PlantInfo'!G151</x:f>
        <x:v>22</x:v>
      </x:c>
      <x:c r="E151" s="23" t="n">
        <x:f>SUMIF('District Allocation'!$A$2:$A$508,A151,'District Allocation'!$K$2:$K$508)</x:f>
        <x:v>22</x:v>
      </x:c>
      <x:c r="F151" s="23" t="n">
        <x:f>E151-D151</x:f>
        <x:v>0</x:v>
      </x:c>
      <x:c r="G151" t="str">
        <x:f>IF(ABS(F151)&lt;0.000001,"OK","CHECK")</x:f>
        <x:v>OK</x:v>
      </x:c>
    </x:row>
    <x:row r="152">
      <x:c r="A152" t="n">
        <x:v>152</x:v>
      </x:c>
      <x:c r="B152" t="str">
        <x:f>'PlantInfo'!A152</x:f>
        <x:v>Wind</x:v>
      </x:c>
      <x:c r="C152" s="22" t="str">
        <x:f>'PlantInfo'!C152</x:f>
        <x:v>Tamil Nadu-Chennai</x:v>
      </x:c>
      <x:c r="D152" s="23" t="n">
        <x:f>'PlantInfo'!G152</x:f>
        <x:v>3.125</x:v>
      </x:c>
      <x:c r="E152" s="23" t="n">
        <x:f>SUMIF('District Allocation'!$A$2:$A$508,A152,'District Allocation'!$K$2:$K$508)</x:f>
        <x:v>3.125</x:v>
      </x:c>
      <x:c r="F152" s="23" t="n">
        <x:f>E152-D152</x:f>
        <x:v>0</x:v>
      </x:c>
      <x:c r="G152" t="str">
        <x:f>IF(ABS(F152)&lt;0.000001,"OK","CHECK")</x:f>
        <x:v>OK</x:v>
      </x:c>
    </x:row>
    <x:row r="153">
      <x:c r="A153" t="n">
        <x:v>153</x:v>
      </x:c>
      <x:c r="B153" t="str">
        <x:f>'PlantInfo'!A153</x:f>
        <x:v>Wind</x:v>
      </x:c>
      <x:c r="C153" s="22" t="str">
        <x:f>'PlantInfo'!C153</x:f>
        <x:v>Tamil Nadu-Coimbatore</x:v>
      </x:c>
      <x:c r="D153" s="23" t="n">
        <x:f>'PlantInfo'!G153</x:f>
        <x:v>2260.1875</x:v>
      </x:c>
      <x:c r="E153" s="23" t="n">
        <x:f>SUMIF('District Allocation'!$A$2:$A$508,A153,'District Allocation'!$K$2:$K$508)</x:f>
        <x:v>2260.1875</x:v>
      </x:c>
      <x:c r="F153" s="23" t="n">
        <x:f>E153-D153</x:f>
        <x:v>0</x:v>
      </x:c>
      <x:c r="G153" t="str">
        <x:f>IF(ABS(F153)&lt;0.000001,"OK","CHECK")</x:f>
        <x:v>OK</x:v>
      </x:c>
    </x:row>
    <x:row r="154">
      <x:c r="A154" t="n">
        <x:v>154</x:v>
      </x:c>
      <x:c r="B154" t="str">
        <x:f>'PlantInfo'!A154</x:f>
        <x:v>Wind</x:v>
      </x:c>
      <x:c r="C154" s="22" t="str">
        <x:f>'PlantInfo'!C154</x:f>
        <x:v>Tamil Nadu-Dharmapuri</x:v>
      </x:c>
      <x:c r="D154" s="23" t="n">
        <x:f>'PlantInfo'!G154</x:f>
        <x:v>196</x:v>
      </x:c>
      <x:c r="E154" s="23" t="n">
        <x:f>SUMIF('District Allocation'!$A$2:$A$508,A154,'District Allocation'!$K$2:$K$508)</x:f>
        <x:v>196</x:v>
      </x:c>
      <x:c r="F154" s="23" t="n">
        <x:f>E154-D154</x:f>
        <x:v>0</x:v>
      </x:c>
      <x:c r="G154" t="str">
        <x:f>IF(ABS(F154)&lt;0.000001,"OK","CHECK")</x:f>
        <x:v>OK</x:v>
      </x:c>
    </x:row>
    <x:row r="155">
      <x:c r="A155" t="n">
        <x:v>155</x:v>
      </x:c>
      <x:c r="B155" t="str">
        <x:f>'PlantInfo'!A155</x:f>
        <x:v>Wind</x:v>
      </x:c>
      <x:c r="C155" s="22" t="str">
        <x:f>'PlantInfo'!C155</x:f>
        <x:v>Tamil Nadu-Dindigul</x:v>
      </x:c>
      <x:c r="D155" s="23" t="n">
        <x:f>'PlantInfo'!G155</x:f>
        <x:v>635.2675</x:v>
      </x:c>
      <x:c r="E155" s="23" t="n">
        <x:f>SUMIF('District Allocation'!$A$2:$A$508,A155,'District Allocation'!$K$2:$K$508)</x:f>
        <x:v>635.2675</x:v>
      </x:c>
      <x:c r="F155" s="23" t="n">
        <x:f>E155-D155</x:f>
        <x:v>0</x:v>
      </x:c>
      <x:c r="G155" t="str">
        <x:f>IF(ABS(F155)&lt;0.000001,"OK","CHECK")</x:f>
        <x:v>OK</x:v>
      </x:c>
    </x:row>
    <x:row r="156">
      <x:c r="A156" t="n">
        <x:v>156</x:v>
      </x:c>
      <x:c r="B156" t="str">
        <x:f>'PlantInfo'!A156</x:f>
        <x:v>Wind</x:v>
      </x:c>
      <x:c r="C156" s="22" t="str">
        <x:f>'PlantInfo'!C156</x:f>
        <x:v>Tamil Nadu-Erode</x:v>
      </x:c>
      <x:c r="D156" s="23" t="n">
        <x:f>'PlantInfo'!G156</x:f>
        <x:v>129.33</x:v>
      </x:c>
      <x:c r="E156" s="23" t="n">
        <x:f>SUMIF('District Allocation'!$A$2:$A$508,A156,'District Allocation'!$K$2:$K$508)</x:f>
        <x:v>129.33</x:v>
      </x:c>
      <x:c r="F156" s="23" t="n">
        <x:f>E156-D156</x:f>
        <x:v>0</x:v>
      </x:c>
      <x:c r="G156" t="str">
        <x:f>IF(ABS(F156)&lt;0.000001,"OK","CHECK")</x:f>
        <x:v>OK</x:v>
      </x:c>
    </x:row>
    <x:row r="157">
      <x:c r="A157" t="n">
        <x:v>157</x:v>
      </x:c>
      <x:c r="B157" t="str">
        <x:f>'PlantInfo'!A157</x:f>
        <x:v>Wind</x:v>
      </x:c>
      <x:c r="C157" s="22" t="str">
        <x:f>'PlantInfo'!C157</x:f>
        <x:v>Tamil Nadu-Kancheepuram</x:v>
      </x:c>
      <x:c r="D157" s="23" t="n">
        <x:f>'PlantInfo'!G157</x:f>
        <x:v>7.65</x:v>
      </x:c>
      <x:c r="E157" s="23" t="n">
        <x:f>SUMIF('District Allocation'!$A$2:$A$508,A157,'District Allocation'!$K$2:$K$508)</x:f>
        <x:v>7.65</x:v>
      </x:c>
      <x:c r="F157" s="23" t="n">
        <x:f>E157-D157</x:f>
        <x:v>0</x:v>
      </x:c>
      <x:c r="G157" t="str">
        <x:f>IF(ABS(F157)&lt;0.000001,"OK","CHECK")</x:f>
        <x:v>OK</x:v>
      </x:c>
    </x:row>
    <x:row r="158">
      <x:c r="A158" t="n">
        <x:v>158</x:v>
      </x:c>
      <x:c r="B158" t="str">
        <x:f>'PlantInfo'!A158</x:f>
        <x:v>Wind</x:v>
      </x:c>
      <x:c r="C158" s="22" t="str">
        <x:f>'PlantInfo'!C158</x:f>
        <x:v>Tamil Nadu-Kanniyakumari</x:v>
      </x:c>
      <x:c r="D158" s="23" t="n">
        <x:f>'PlantInfo'!G158</x:f>
        <x:v>349.125</x:v>
      </x:c>
      <x:c r="E158" s="23" t="n">
        <x:f>SUMIF('District Allocation'!$A$2:$A$508,A158,'District Allocation'!$K$2:$K$508)</x:f>
        <x:v>349.125</x:v>
      </x:c>
      <x:c r="F158" s="23" t="n">
        <x:f>E158-D158</x:f>
        <x:v>0</x:v>
      </x:c>
      <x:c r="G158" t="str">
        <x:f>IF(ABS(F158)&lt;0.000001,"OK","CHECK")</x:f>
        <x:v>OK</x:v>
      </x:c>
    </x:row>
    <x:row r="159">
      <x:c r="A159" t="n">
        <x:v>159</x:v>
      </x:c>
      <x:c r="B159" t="str">
        <x:f>'PlantInfo'!A159</x:f>
        <x:v>Wind</x:v>
      </x:c>
      <x:c r="C159" s="22" t="str">
        <x:f>'PlantInfo'!C159</x:f>
        <x:v>Tamil Nadu-Karur</x:v>
      </x:c>
      <x:c r="D159" s="23" t="n">
        <x:f>'PlantInfo'!G159</x:f>
        <x:v>589.1025000000009</x:v>
      </x:c>
      <x:c r="E159" s="23" t="n">
        <x:f>SUMIF('District Allocation'!$A$2:$A$508,A159,'District Allocation'!$K$2:$K$508)</x:f>
        <x:v>589.1025000000009</x:v>
      </x:c>
      <x:c r="F159" s="23" t="n">
        <x:f>E159-D159</x:f>
        <x:v>0</x:v>
      </x:c>
      <x:c r="G159" t="str">
        <x:f>IF(ABS(F159)&lt;0.000001,"OK","CHECK")</x:f>
        <x:v>OK</x:v>
      </x:c>
    </x:row>
    <x:row r="160">
      <x:c r="A160" t="n">
        <x:v>160</x:v>
      </x:c>
      <x:c r="B160" t="str">
        <x:f>'PlantInfo'!A160</x:f>
        <x:v>Wind</x:v>
      </x:c>
      <x:c r="C160" s="22" t="str">
        <x:f>'PlantInfo'!C160</x:f>
        <x:v>Tamil Nadu-N.A.</x:v>
      </x:c>
      <x:c r="D160" s="23" t="n">
        <x:f>'PlantInfo'!G160</x:f>
        <x:v>279.51</x:v>
      </x:c>
      <x:c r="E160" s="23" t="n">
        <x:f>SUMIF('District Allocation'!$A$2:$A$508,A160,'District Allocation'!$K$2:$K$508)</x:f>
        <x:v>279.51</x:v>
      </x:c>
      <x:c r="F160" s="23" t="n">
        <x:f>E160-D160</x:f>
        <x:v>0</x:v>
      </x:c>
      <x:c r="G160" t="str">
        <x:f>IF(ABS(F160)&lt;0.000001,"OK","CHECK")</x:f>
        <x:v>OK</x:v>
      </x:c>
    </x:row>
    <x:row r="161">
      <x:c r="A161" t="n">
        <x:v>161</x:v>
      </x:c>
      <x:c r="B161" t="str">
        <x:f>'PlantInfo'!A161</x:f>
        <x:v>Wind</x:v>
      </x:c>
      <x:c r="C161" s="22" t="str">
        <x:f>'PlantInfo'!C161</x:f>
        <x:v>Tamil Nadu-Ramanathapuram</x:v>
      </x:c>
      <x:c r="D161" s="23" t="n">
        <x:f>'PlantInfo'!G161</x:f>
        <x:v>17.4</x:v>
      </x:c>
      <x:c r="E161" s="23" t="n">
        <x:f>SUMIF('District Allocation'!$A$2:$A$508,A161,'District Allocation'!$K$2:$K$508)</x:f>
        <x:v>17.4</x:v>
      </x:c>
      <x:c r="F161" s="23" t="n">
        <x:f>E161-D161</x:f>
        <x:v>0</x:v>
      </x:c>
      <x:c r="G161" t="str">
        <x:f>IF(ABS(F161)&lt;0.000001,"OK","CHECK")</x:f>
        <x:v>OK</x:v>
      </x:c>
    </x:row>
    <x:row r="162">
      <x:c r="A162" t="n">
        <x:v>162</x:v>
      </x:c>
      <x:c r="B162" t="str">
        <x:f>'PlantInfo'!A162</x:f>
        <x:v>Wind</x:v>
      </x:c>
      <x:c r="C162" s="22" t="str">
        <x:f>'PlantInfo'!C162</x:f>
        <x:v>Tamil Nadu-Salem</x:v>
      </x:c>
      <x:c r="D162" s="23" t="n">
        <x:f>'PlantInfo'!G162</x:f>
        <x:v>3.4</x:v>
      </x:c>
      <x:c r="E162" s="23" t="n">
        <x:f>SUMIF('District Allocation'!$A$2:$A$508,A162,'District Allocation'!$K$2:$K$508)</x:f>
        <x:v>3.4</x:v>
      </x:c>
      <x:c r="F162" s="23" t="n">
        <x:f>E162-D162</x:f>
        <x:v>0</x:v>
      </x:c>
      <x:c r="G162" t="str">
        <x:f>IF(ABS(F162)&lt;0.000001,"OK","CHECK")</x:f>
        <x:v>OK</x:v>
      </x:c>
    </x:row>
    <x:row r="163">
      <x:c r="A163" t="n">
        <x:v>163</x:v>
      </x:c>
      <x:c r="B163" t="str">
        <x:f>'PlantInfo'!A163</x:f>
        <x:v>Wind</x:v>
      </x:c>
      <x:c r="C163" s="22" t="str">
        <x:f>'PlantInfo'!C163</x:f>
        <x:v>Tamil Nadu-Thanjavur</x:v>
      </x:c>
      <x:c r="D163" s="23" t="n">
        <x:f>'PlantInfo'!G163</x:f>
        <x:v>8.8</x:v>
      </x:c>
      <x:c r="E163" s="23" t="n">
        <x:f>SUMIF('District Allocation'!$A$2:$A$508,A163,'District Allocation'!$K$2:$K$508)</x:f>
        <x:v>8.8</x:v>
      </x:c>
      <x:c r="F163" s="23" t="n">
        <x:f>E163-D163</x:f>
        <x:v>0</x:v>
      </x:c>
      <x:c r="G163" t="str">
        <x:f>IF(ABS(F163)&lt;0.000001,"OK","CHECK")</x:f>
        <x:v>OK</x:v>
      </x:c>
    </x:row>
    <x:row r="164">
      <x:c r="A164" t="n">
        <x:v>164</x:v>
      </x:c>
      <x:c r="B164" t="str">
        <x:f>'PlantInfo'!A164</x:f>
        <x:v>Wind</x:v>
      </x:c>
      <x:c r="C164" s="22" t="str">
        <x:f>'PlantInfo'!C164</x:f>
        <x:v>Tamil Nadu-Theni</x:v>
      </x:c>
      <x:c r="D164" s="23" t="n">
        <x:f>'PlantInfo'!G164</x:f>
        <x:v>574.6</x:v>
      </x:c>
      <x:c r="E164" s="23" t="n">
        <x:f>SUMIF('District Allocation'!$A$2:$A$508,A164,'District Allocation'!$K$2:$K$508)</x:f>
        <x:v>574.6</x:v>
      </x:c>
      <x:c r="F164" s="23" t="n">
        <x:f>E164-D164</x:f>
        <x:v>0</x:v>
      </x:c>
      <x:c r="G164" t="str">
        <x:f>IF(ABS(F164)&lt;0.000001,"OK","CHECK")</x:f>
        <x:v>OK</x:v>
      </x:c>
    </x:row>
    <x:row r="165">
      <x:c r="A165" t="n">
        <x:v>165</x:v>
      </x:c>
      <x:c r="B165" t="str">
        <x:f>'PlantInfo'!A165</x:f>
        <x:v>Wind</x:v>
      </x:c>
      <x:c r="C165" s="22" t="str">
        <x:f>'PlantInfo'!C165</x:f>
        <x:v>Tamil Nadu-Thiruvallur</x:v>
      </x:c>
      <x:c r="D165" s="23" t="n">
        <x:f>'PlantInfo'!G165</x:f>
        <x:v>7.2</x:v>
      </x:c>
      <x:c r="E165" s="23" t="n">
        <x:f>SUMIF('District Allocation'!$A$2:$A$508,A165,'District Allocation'!$K$2:$K$508)</x:f>
        <x:v>7.2</x:v>
      </x:c>
      <x:c r="F165" s="23" t="n">
        <x:f>E165-D165</x:f>
        <x:v>0</x:v>
      </x:c>
      <x:c r="G165" t="str">
        <x:f>IF(ABS(F165)&lt;0.000001,"OK","CHECK")</x:f>
        <x:v>OK</x:v>
      </x:c>
    </x:row>
    <x:row r="166">
      <x:c r="A166" t="n">
        <x:v>166</x:v>
      </x:c>
      <x:c r="B166" t="str">
        <x:f>'PlantInfo'!A166</x:f>
        <x:v>Wind</x:v>
      </x:c>
      <x:c r="C166" s="22" t="str">
        <x:f>'PlantInfo'!C166</x:f>
        <x:v>Tamil Nadu-Thoothukkudi</x:v>
      </x:c>
      <x:c r="D166" s="23" t="n">
        <x:f>'PlantInfo'!G166</x:f>
        <x:v>2174.3775</x:v>
      </x:c>
      <x:c r="E166" s="23" t="n">
        <x:f>SUMIF('District Allocation'!$A$2:$A$508,A166,'District Allocation'!$K$2:$K$508)</x:f>
        <x:v>2174.3775</x:v>
      </x:c>
      <x:c r="F166" s="23" t="n">
        <x:f>E166-D166</x:f>
        <x:v>0</x:v>
      </x:c>
      <x:c r="G166" t="str">
        <x:f>IF(ABS(F166)&lt;0.000001,"OK","CHECK")</x:f>
        <x:v>OK</x:v>
      </x:c>
    </x:row>
    <x:row r="167">
      <x:c r="A167" t="n">
        <x:v>167</x:v>
      </x:c>
      <x:c r="B167" t="str">
        <x:f>'PlantInfo'!A167</x:f>
        <x:v>Wind</x:v>
      </x:c>
      <x:c r="C167" s="22" t="str">
        <x:f>'PlantInfo'!C167</x:f>
        <x:v>Tamil Nadu-Tiruchirappalli</x:v>
      </x:c>
      <x:c r="D167" s="23" t="n">
        <x:f>'PlantInfo'!G167</x:f>
        <x:v>6.4</x:v>
      </x:c>
      <x:c r="E167" s="23" t="n">
        <x:f>SUMIF('District Allocation'!$A$2:$A$508,A167,'District Allocation'!$K$2:$K$508)</x:f>
        <x:v>6.4</x:v>
      </x:c>
      <x:c r="F167" s="23" t="n">
        <x:f>E167-D167</x:f>
        <x:v>0</x:v>
      </x:c>
      <x:c r="G167" t="str">
        <x:f>IF(ABS(F167)&lt;0.000001,"OK","CHECK")</x:f>
        <x:v>OK</x:v>
      </x:c>
    </x:row>
    <x:row r="168">
      <x:c r="A168" t="n">
        <x:v>168</x:v>
      </x:c>
      <x:c r="B168" t="str">
        <x:f>'PlantInfo'!A168</x:f>
        <x:v>Wind</x:v>
      </x:c>
      <x:c r="C168" s="22" t="str">
        <x:f>'PlantInfo'!C168</x:f>
        <x:v>Tamil Nadu-Tirunelveli</x:v>
      </x:c>
      <x:c r="D168" s="23" t="n">
        <x:f>'PlantInfo'!G168</x:f>
        <x:v>3807.5405000000005</x:v>
      </x:c>
      <x:c r="E168" s="23" t="n">
        <x:f>SUMIF('District Allocation'!$A$2:$A$508,A168,'District Allocation'!$K$2:$K$508)</x:f>
        <x:v>3807.5405000000005</x:v>
      </x:c>
      <x:c r="F168" s="23" t="n">
        <x:f>E168-D168</x:f>
        <x:v>0</x:v>
      </x:c>
      <x:c r="G168" t="str">
        <x:f>IF(ABS(F168)&lt;0.000001,"OK","CHECK")</x:f>
        <x:v>OK</x:v>
      </x:c>
    </x:row>
    <x:row r="169">
      <x:c r="A169" t="n">
        <x:v>169</x:v>
      </x:c>
      <x:c r="B169" t="str">
        <x:f>'PlantInfo'!A169</x:f>
        <x:v>Wind</x:v>
      </x:c>
      <x:c r="C169" s="22" t="str">
        <x:f>'PlantInfo'!C169</x:f>
        <x:v>Tamil Nadu-Tiruppur</x:v>
      </x:c>
      <x:c r="D169" s="23" t="n">
        <x:f>'PlantInfo'!G169</x:f>
        <x:v>786.8149999999999</x:v>
      </x:c>
      <x:c r="E169" s="23" t="n">
        <x:f>SUMIF('District Allocation'!$A$2:$A$508,A169,'District Allocation'!$K$2:$K$508)</x:f>
        <x:v>786.8149999999999</x:v>
      </x:c>
      <x:c r="F169" s="23" t="n">
        <x:f>E169-D169</x:f>
        <x:v>0</x:v>
      </x:c>
      <x:c r="G169" t="str">
        <x:f>IF(ABS(F169)&lt;0.000001,"OK","CHECK")</x:f>
        <x:v>OK</x:v>
      </x:c>
    </x:row>
    <x:row r="170">
      <x:c r="A170" t="n">
        <x:v>170</x:v>
      </x:c>
      <x:c r="B170" t="str">
        <x:f>'PlantInfo'!A170</x:f>
        <x:v>Wind</x:v>
      </x:c>
      <x:c r="C170" s="22" t="str">
        <x:f>'PlantInfo'!C170</x:f>
        <x:v>Tamil Nadu-Tiruppur &amp; Karur</x:v>
      </x:c>
      <x:c r="D170" s="23" t="n">
        <x:f>'PlantInfo'!G170</x:f>
        <x:v>300</x:v>
      </x:c>
      <x:c r="E170" s="23" t="n">
        <x:f>SUMIF('District Allocation'!$A$2:$A$508,A170,'District Allocation'!$K$2:$K$508)</x:f>
        <x:v>300</x:v>
      </x:c>
      <x:c r="F170" s="23" t="n">
        <x:f>E170-D170</x:f>
        <x:v>0</x:v>
      </x:c>
      <x:c r="G170" t="str">
        <x:f>IF(ABS(F170)&lt;0.000001,"OK","CHECK")</x:f>
        <x:v>OK</x:v>
      </x:c>
    </x:row>
    <x:row r="171">
      <x:c r="A171" t="n">
        <x:v>171</x:v>
      </x:c>
      <x:c r="B171" t="str">
        <x:f>'PlantInfo'!A171</x:f>
        <x:v>Wind</x:v>
      </x:c>
      <x:c r="C171" s="22" t="str">
        <x:f>'PlantInfo'!C171</x:f>
        <x:v>Tamil Nadu-Viluppuram</x:v>
      </x:c>
      <x:c r="D171" s="23" t="n">
        <x:f>'PlantInfo'!G171</x:f>
        <x:v>1.7</x:v>
      </x:c>
      <x:c r="E171" s="23" t="n">
        <x:f>SUMIF('District Allocation'!$A$2:$A$508,A171,'District Allocation'!$K$2:$K$508)</x:f>
        <x:v>1.7</x:v>
      </x:c>
      <x:c r="F171" s="23" t="n">
        <x:f>E171-D171</x:f>
        <x:v>0</x:v>
      </x:c>
      <x:c r="G171" t="str">
        <x:f>IF(ABS(F171)&lt;0.000001,"OK","CHECK")</x:f>
        <x:v>OK</x:v>
      </x:c>
    </x:row>
    <x:row r="172">
      <x:c r="A172" t="n">
        <x:v>172</x:v>
      </x:c>
      <x:c r="B172" t="str">
        <x:f>'PlantInfo'!A172</x:f>
        <x:v>Solar</x:v>
      </x:c>
      <x:c r="C172" s="22" t="str">
        <x:f>'PlantInfo'!C172</x:f>
        <x:v>INGEL Tamil Nadu 200.0</x:v>
      </x:c>
      <x:c r="D172" s="23" t="n">
        <x:f>'PlantInfo'!G172</x:f>
        <x:v>200</x:v>
      </x:c>
      <x:c r="E172" s="23" t="n">
        <x:f>SUMIF('District Allocation'!$A$2:$A$508,A172,'District Allocation'!$K$2:$K$508)</x:f>
        <x:v>200</x:v>
      </x:c>
      <x:c r="F172" s="23" t="n">
        <x:f>E172-D172</x:f>
        <x:v>0</x:v>
      </x:c>
      <x:c r="G172" t="str">
        <x:f>IF(ABS(F172)&lt;0.000001,"OK","CHECK")</x:f>
        <x:v>OK</x:v>
      </x:c>
    </x:row>
    <x:row r="173">
      <x:c r="A173" t="n">
        <x:v>173</x:v>
      </x:c>
      <x:c r="B173" t="str">
        <x:f>'PlantInfo'!A173</x:f>
        <x:v>Solar</x:v>
      </x:c>
      <x:c r="C173" s="22" t="str">
        <x:f>'PlantInfo'!C173</x:f>
        <x:v>Tamil Nadu Chennai 16</x:v>
      </x:c>
      <x:c r="D173" s="23" t="n">
        <x:f>'PlantInfo'!G173</x:f>
        <x:v>16</x:v>
      </x:c>
      <x:c r="E173" s="23" t="n">
        <x:f>SUMIF('District Allocation'!$A$2:$A$508,A173,'District Allocation'!$K$2:$K$508)</x:f>
        <x:v>16</x:v>
      </x:c>
      <x:c r="F173" s="23" t="n">
        <x:f>E173-D173</x:f>
        <x:v>0</x:v>
      </x:c>
      <x:c r="G173" t="str">
        <x:f>IF(ABS(F173)&lt;0.000001,"OK","CHECK")</x:f>
        <x:v>OK</x:v>
      </x:c>
    </x:row>
    <x:row r="174">
      <x:c r="A174" t="n">
        <x:v>174</x:v>
      </x:c>
      <x:c r="B174" t="str">
        <x:f>'PlantInfo'!A174</x:f>
        <x:v>Solar</x:v>
      </x:c>
      <x:c r="C174" s="22" t="str">
        <x:f>'PlantInfo'!C174</x:f>
        <x:v>Tamil Nadu Coimbatore 11.26</x:v>
      </x:c>
      <x:c r="D174" s="23" t="n">
        <x:f>'PlantInfo'!G174</x:f>
        <x:v>11.26</x:v>
      </x:c>
      <x:c r="E174" s="23" t="n">
        <x:f>SUMIF('District Allocation'!$A$2:$A$508,A174,'District Allocation'!$K$2:$K$508)</x:f>
        <x:v>11.26</x:v>
      </x:c>
      <x:c r="F174" s="23" t="n">
        <x:f>E174-D174</x:f>
        <x:v>0</x:v>
      </x:c>
      <x:c r="G174" t="str">
        <x:f>IF(ABS(F174)&lt;0.000001,"OK","CHECK")</x:f>
        <x:v>OK</x:v>
      </x:c>
    </x:row>
    <x:row r="175">
      <x:c r="A175" t="n">
        <x:v>175</x:v>
      </x:c>
      <x:c r="B175" t="str">
        <x:f>'PlantInfo'!A175</x:f>
        <x:v>Solar</x:v>
      </x:c>
      <x:c r="C175" s="22" t="str">
        <x:f>'PlantInfo'!C175</x:f>
        <x:v>Tamil Nadu Cuddalore 140</x:v>
      </x:c>
      <x:c r="D175" s="23" t="n">
        <x:f>'PlantInfo'!G175</x:f>
        <x:v>140</x:v>
      </x:c>
      <x:c r="E175" s="23" t="n">
        <x:f>SUMIF('District Allocation'!$A$2:$A$508,A175,'District Allocation'!$K$2:$K$508)</x:f>
        <x:v>140</x:v>
      </x:c>
      <x:c r="F175" s="23" t="n">
        <x:f>E175-D175</x:f>
        <x:v>0</x:v>
      </x:c>
      <x:c r="G175" t="str">
        <x:f>IF(ABS(F175)&lt;0.000001,"OK","CHECK")</x:f>
        <x:v>OK</x:v>
      </x:c>
    </x:row>
    <x:row r="176">
      <x:c r="A176" t="n">
        <x:v>176</x:v>
      </x:c>
      <x:c r="B176" t="str">
        <x:f>'PlantInfo'!A176</x:f>
        <x:v>Solar</x:v>
      </x:c>
      <x:c r="C176" s="22" t="str">
        <x:f>'PlantInfo'!C176</x:f>
        <x:v>Tamil Nadu Dindigul 109.46</x:v>
      </x:c>
      <x:c r="D176" s="23" t="n">
        <x:f>'PlantInfo'!G176</x:f>
        <x:v>109.46</x:v>
      </x:c>
      <x:c r="E176" s="23" t="n">
        <x:f>SUMIF('District Allocation'!$A$2:$A$508,A176,'District Allocation'!$K$2:$K$508)</x:f>
        <x:v>109.46</x:v>
      </x:c>
      <x:c r="F176" s="23" t="n">
        <x:f>E176-D176</x:f>
        <x:v>0</x:v>
      </x:c>
      <x:c r="G176" t="str">
        <x:f>IF(ABS(F176)&lt;0.000001,"OK","CHECK")</x:f>
        <x:v>OK</x:v>
      </x:c>
    </x:row>
    <x:row r="177">
      <x:c r="A177" t="n">
        <x:v>177</x:v>
      </x:c>
      <x:c r="B177" t="str">
        <x:f>'PlantInfo'!A177</x:f>
        <x:v>Solar</x:v>
      </x:c>
      <x:c r="C177" s="22" t="str">
        <x:f>'PlantInfo'!C177</x:f>
        <x:v>Tamil Nadu Erode  7</x:v>
      </x:c>
      <x:c r="D177" s="23" t="n">
        <x:f>'PlantInfo'!G177</x:f>
        <x:v>7</x:v>
      </x:c>
      <x:c r="E177" s="23" t="n">
        <x:f>SUMIF('District Allocation'!$A$2:$A$508,A177,'District Allocation'!$K$2:$K$508)</x:f>
        <x:v>7</x:v>
      </x:c>
      <x:c r="F177" s="23" t="n">
        <x:f>E177-D177</x:f>
        <x:v>0</x:v>
      </x:c>
      <x:c r="G177" t="str">
        <x:f>IF(ABS(F177)&lt;0.000001,"OK","CHECK")</x:f>
        <x:v>OK</x:v>
      </x:c>
    </x:row>
    <x:row r="178">
      <x:c r="A178" t="n">
        <x:v>178</x:v>
      </x:c>
      <x:c r="B178" t="str">
        <x:f>'PlantInfo'!A178</x:f>
        <x:v>Solar</x:v>
      </x:c>
      <x:c r="C178" s="22" t="str">
        <x:f>'PlantInfo'!C178</x:f>
        <x:v>Tamil Nadu Kanniyakumari 1</x:v>
      </x:c>
      <x:c r="D178" s="23" t="n">
        <x:f>'PlantInfo'!G178</x:f>
        <x:v>1</x:v>
      </x:c>
      <x:c r="E178" s="23" t="n">
        <x:f>SUMIF('District Allocation'!$A$2:$A$508,A178,'District Allocation'!$K$2:$K$508)</x:f>
        <x:v>1</x:v>
      </x:c>
      <x:c r="F178" s="23" t="n">
        <x:f>E178-D178</x:f>
        <x:v>0</x:v>
      </x:c>
      <x:c r="G178" t="str">
        <x:f>IF(ABS(F178)&lt;0.000001,"OK","CHECK")</x:f>
        <x:v>OK</x:v>
      </x:c>
    </x:row>
    <x:row r="179">
      <x:c r="A179" t="n">
        <x:v>179</x:v>
      </x:c>
      <x:c r="B179" t="str">
        <x:f>'PlantInfo'!A179</x:f>
        <x:v>Solar</x:v>
      </x:c>
      <x:c r="C179" s="22" t="str">
        <x:f>'PlantInfo'!C179</x:f>
        <x:v>Tamil Nadu Karur 156.49</x:v>
      </x:c>
      <x:c r="D179" s="23" t="n">
        <x:f>'PlantInfo'!G179</x:f>
        <x:v>156.49</x:v>
      </x:c>
      <x:c r="E179" s="23" t="n">
        <x:f>SUMIF('District Allocation'!$A$2:$A$508,A179,'District Allocation'!$K$2:$K$508)</x:f>
        <x:v>156.49</x:v>
      </x:c>
      <x:c r="F179" s="23" t="n">
        <x:f>E179-D179</x:f>
        <x:v>0</x:v>
      </x:c>
      <x:c r="G179" t="str">
        <x:f>IF(ABS(F179)&lt;0.000001,"OK","CHECK")</x:f>
        <x:v>OK</x:v>
      </x:c>
    </x:row>
    <x:row r="180">
      <x:c r="A180" t="n">
        <x:v>180</x:v>
      </x:c>
      <x:c r="B180" t="str">
        <x:f>'PlantInfo'!A180</x:f>
        <x:v>Solar</x:v>
      </x:c>
      <x:c r="C180" s="22" t="str">
        <x:f>'PlantInfo'!C180</x:f>
        <x:v>Tamil Nadu Krishnagiri 0.75</x:v>
      </x:c>
      <x:c r="D180" s="23" t="n">
        <x:f>'PlantInfo'!G180</x:f>
        <x:v>0.75</x:v>
      </x:c>
      <x:c r="E180" s="23" t="n">
        <x:f>SUMIF('District Allocation'!$A$2:$A$508,A180,'District Allocation'!$K$2:$K$508)</x:f>
        <x:v>0.75</x:v>
      </x:c>
      <x:c r="F180" s="23" t="n">
        <x:f>E180-D180</x:f>
        <x:v>0</x:v>
      </x:c>
      <x:c r="G180" t="str">
        <x:f>IF(ABS(F180)&lt;0.000001,"OK","CHECK")</x:f>
        <x:v>OK</x:v>
      </x:c>
    </x:row>
    <x:row r="181">
      <x:c r="A181" t="n">
        <x:v>181</x:v>
      </x:c>
      <x:c r="B181" t="str">
        <x:f>'PlantInfo'!A181</x:f>
        <x:v>Solar</x:v>
      </x:c>
      <x:c r="C181" s="22" t="str">
        <x:f>'PlantInfo'!C181</x:f>
        <x:v>Tamil Nadu Madurai 1</x:v>
      </x:c>
      <x:c r="D181" s="23" t="n">
        <x:f>'PlantInfo'!G181</x:f>
        <x:v>1</x:v>
      </x:c>
      <x:c r="E181" s="23" t="n">
        <x:f>SUMIF('District Allocation'!$A$2:$A$508,A181,'District Allocation'!$K$2:$K$508)</x:f>
        <x:v>1</x:v>
      </x:c>
      <x:c r="F181" s="23" t="n">
        <x:f>E181-D181</x:f>
        <x:v>0</x:v>
      </x:c>
      <x:c r="G181" t="str">
        <x:f>IF(ABS(F181)&lt;0.000001,"OK","CHECK")</x:f>
        <x:v>OK</x:v>
      </x:c>
    </x:row>
    <x:row r="182">
      <x:c r="A182" t="n">
        <x:v>182</x:v>
      </x:c>
      <x:c r="B182" t="str">
        <x:f>'PlantInfo'!A182</x:f>
        <x:v>Solar</x:v>
      </x:c>
      <x:c r="C182" s="22" t="str">
        <x:f>'PlantInfo'!C182</x:f>
        <x:v>Tamil Nadu N.A. 251</x:v>
      </x:c>
      <x:c r="D182" s="23" t="n">
        <x:f>'PlantInfo'!G182</x:f>
        <x:v>251</x:v>
      </x:c>
      <x:c r="E182" s="23" t="n">
        <x:f>SUMIF('District Allocation'!$A$2:$A$508,A182,'District Allocation'!$K$2:$K$508)</x:f>
        <x:v>250.99999999999994</x:v>
      </x:c>
      <x:c r="F182" s="23" t="n">
        <x:f>E182-D182</x:f>
        <x:v>-5.684341886080802e-14</x:v>
      </x:c>
      <x:c r="G182" t="str">
        <x:f>IF(ABS(F182)&lt;0.000001,"OK","CHECK")</x:f>
        <x:v>OK</x:v>
      </x:c>
    </x:row>
    <x:row r="183">
      <x:c r="A183" t="n">
        <x:v>183</x:v>
      </x:c>
      <x:c r="B183" t="str">
        <x:f>'PlantInfo'!A183</x:f>
        <x:v>Solar</x:v>
      </x:c>
      <x:c r="C183" s="22" t="str">
        <x:f>'PlantInfo'!C183</x:f>
        <x:v>Tamil Nadu N.A. Off -grid 75.91</x:v>
      </x:c>
      <x:c r="D183" s="23" t="n">
        <x:f>'PlantInfo'!G183</x:f>
        <x:v>75.91</x:v>
      </x:c>
      <x:c r="E183" s="23" t="n">
        <x:f>SUMIF('District Allocation'!$A$2:$A$508,A183,'District Allocation'!$K$2:$K$508)</x:f>
        <x:v>75.91</x:v>
      </x:c>
      <x:c r="F183" s="23" t="n">
        <x:f>E183-D183</x:f>
        <x:v>0</x:v>
      </x:c>
      <x:c r="G183" t="str">
        <x:f>IF(ABS(F183)&lt;0.000001,"OK","CHECK")</x:f>
        <x:v>OK</x:v>
      </x:c>
    </x:row>
    <x:row r="184">
      <x:c r="A184" t="n">
        <x:v>184</x:v>
      </x:c>
      <x:c r="B184" t="str">
        <x:f>'PlantInfo'!A184</x:f>
        <x:v>Solar</x:v>
      </x:c>
      <x:c r="C184" s="22" t="str">
        <x:f>'PlantInfo'!C184</x:f>
        <x:v>Tamil Nadu N.A. Others (Districts not specified) 8930.85</x:v>
      </x:c>
      <x:c r="D184" s="23" t="n">
        <x:f>'PlantInfo'!G184</x:f>
        <x:v>8930.85</x:v>
      </x:c>
      <x:c r="E184" s="23" t="n">
        <x:f>SUMIF('District Allocation'!$A$2:$A$508,A184,'District Allocation'!$K$2:$K$508)</x:f>
        <x:v>8930.850000000002</x:v>
      </x:c>
      <x:c r="F184" s="23" t="n">
        <x:f>E184-D184</x:f>
        <x:v>1.8189894035458565e-12</x:v>
      </x:c>
      <x:c r="G184" t="str">
        <x:f>IF(ABS(F184)&lt;0.000001,"OK","CHECK")</x:f>
        <x:v>OK</x:v>
      </x:c>
    </x:row>
    <x:row r="185">
      <x:c r="A185" t="n">
        <x:v>185</x:v>
      </x:c>
      <x:c r="B185" t="str">
        <x:f>'PlantInfo'!A185</x:f>
        <x:v>Solar</x:v>
      </x:c>
      <x:c r="C185" s="22" t="str">
        <x:f>'PlantInfo'!C185</x:f>
        <x:v>Tamil Nadu N.A. Rooftop (Grid Connected) 1635.8</x:v>
      </x:c>
      <x:c r="D185" s="23" t="n">
        <x:f>'PlantInfo'!G185</x:f>
        <x:v>1635.8</x:v>
      </x:c>
      <x:c r="E185" s="23" t="n">
        <x:f>SUMIF('District Allocation'!$A$2:$A$508,A185,'District Allocation'!$K$2:$K$508)</x:f>
        <x:v>1635.7999999999995</x:v>
      </x:c>
      <x:c r="F185" s="23" t="n">
        <x:f>E185-D185</x:f>
        <x:v>-4.547473508864641e-13</x:v>
      </x:c>
      <x:c r="G185" t="str">
        <x:f>IF(ABS(F185)&lt;0.000001,"OK","CHECK")</x:f>
        <x:v>OK</x:v>
      </x:c>
    </x:row>
    <x:row r="186">
      <x:c r="A186" t="n">
        <x:v>186</x:v>
      </x:c>
      <x:c r="B186" t="str">
        <x:f>'PlantInfo'!A186</x:f>
        <x:v>Solar</x:v>
      </x:c>
      <x:c r="C186" s="22" t="str">
        <x:f>'PlantInfo'!C186</x:f>
        <x:v>Tamil Nadu Nagapattinam  5</x:v>
      </x:c>
      <x:c r="D186" s="23" t="n">
        <x:f>'PlantInfo'!G186</x:f>
        <x:v>5</x:v>
      </x:c>
      <x:c r="E186" s="23" t="n">
        <x:f>SUMIF('District Allocation'!$A$2:$A$508,A186,'District Allocation'!$K$2:$K$508)</x:f>
        <x:v>5</x:v>
      </x:c>
      <x:c r="F186" s="23" t="n">
        <x:f>E186-D186</x:f>
        <x:v>0</x:v>
      </x:c>
      <x:c r="G186" t="str">
        <x:f>IF(ABS(F186)&lt;0.000001,"OK","CHECK")</x:f>
        <x:v>OK</x:v>
      </x:c>
    </x:row>
    <x:row r="187">
      <x:c r="A187" t="n">
        <x:v>187</x:v>
      </x:c>
      <x:c r="B187" t="str">
        <x:f>'PlantInfo'!A187</x:f>
        <x:v>Solar</x:v>
      </x:c>
      <x:c r="C187" s="22" t="str">
        <x:f>'PlantInfo'!C187</x:f>
        <x:v>Tamil Nadu Perambalur 10</x:v>
      </x:c>
      <x:c r="D187" s="23" t="n">
        <x:f>'PlantInfo'!G187</x:f>
        <x:v>10</x:v>
      </x:c>
      <x:c r="E187" s="23" t="n">
        <x:f>SUMIF('District Allocation'!$A$2:$A$508,A187,'District Allocation'!$K$2:$K$508)</x:f>
        <x:v>10</x:v>
      </x:c>
      <x:c r="F187" s="23" t="n">
        <x:f>E187-D187</x:f>
        <x:v>0</x:v>
      </x:c>
      <x:c r="G187" t="str">
        <x:f>IF(ABS(F187)&lt;0.000001,"OK","CHECK")</x:f>
        <x:v>OK</x:v>
      </x:c>
    </x:row>
    <x:row r="188">
      <x:c r="A188" t="n">
        <x:v>188</x:v>
      </x:c>
      <x:c r="B188" t="str">
        <x:f>'PlantInfo'!A188</x:f>
        <x:v>Solar</x:v>
      </x:c>
      <x:c r="C188" s="22" t="str">
        <x:f>'PlantInfo'!C188</x:f>
        <x:v>Tamil Nadu Pudukkottai 20</x:v>
      </x:c>
      <x:c r="D188" s="23" t="n">
        <x:f>'PlantInfo'!G188</x:f>
        <x:v>20</x:v>
      </x:c>
      <x:c r="E188" s="23" t="n">
        <x:f>SUMIF('District Allocation'!$A$2:$A$508,A188,'District Allocation'!$K$2:$K$508)</x:f>
        <x:v>20</x:v>
      </x:c>
      <x:c r="F188" s="23" t="n">
        <x:f>E188-D188</x:f>
        <x:v>0</x:v>
      </x:c>
      <x:c r="G188" t="str">
        <x:f>IF(ABS(F188)&lt;0.000001,"OK","CHECK")</x:f>
        <x:v>OK</x:v>
      </x:c>
    </x:row>
    <x:row r="189">
      <x:c r="A189" t="n">
        <x:v>189</x:v>
      </x:c>
      <x:c r="B189" t="str">
        <x:f>'PlantInfo'!A189</x:f>
        <x:v>Solar</x:v>
      </x:c>
      <x:c r="C189" s="22" t="str">
        <x:f>'PlantInfo'!C189</x:f>
        <x:v>Tamil Nadu Ramanathapuram 245</x:v>
      </x:c>
      <x:c r="D189" s="23" t="n">
        <x:f>'PlantInfo'!G189</x:f>
        <x:v>245</x:v>
      </x:c>
      <x:c r="E189" s="23" t="n">
        <x:f>SUMIF('District Allocation'!$A$2:$A$508,A189,'District Allocation'!$K$2:$K$508)</x:f>
        <x:v>245</x:v>
      </x:c>
      <x:c r="F189" s="23" t="n">
        <x:f>E189-D189</x:f>
        <x:v>0</x:v>
      </x:c>
      <x:c r="G189" t="str">
        <x:f>IF(ABS(F189)&lt;0.000001,"OK","CHECK")</x:f>
        <x:v>OK</x:v>
      </x:c>
    </x:row>
    <x:row r="190">
      <x:c r="A190" t="n">
        <x:v>190</x:v>
      </x:c>
      <x:c r="B190" t="str">
        <x:f>'PlantInfo'!A190</x:f>
        <x:v>Solar</x:v>
      </x:c>
      <x:c r="C190" s="22" t="str">
        <x:f>'PlantInfo'!C190</x:f>
        <x:v>Tamil Nadu Ramanathapuram Kamuthi Solar Power Project 648</x:v>
      </x:c>
      <x:c r="D190" s="23" t="n">
        <x:f>'PlantInfo'!G190</x:f>
        <x:v>648</x:v>
      </x:c>
      <x:c r="E190" s="23" t="n">
        <x:f>SUMIF('District Allocation'!$A$2:$A$508,A190,'District Allocation'!$K$2:$K$508)</x:f>
        <x:v>648</x:v>
      </x:c>
      <x:c r="F190" s="23" t="n">
        <x:f>E190-D190</x:f>
        <x:v>0</x:v>
      </x:c>
      <x:c r="G190" t="str">
        <x:f>IF(ABS(F190)&lt;0.000001,"OK","CHECK")</x:f>
        <x:v>OK</x:v>
      </x:c>
    </x:row>
    <x:row r="191">
      <x:c r="A191" t="n">
        <x:v>191</x:v>
      </x:c>
      <x:c r="B191" t="str">
        <x:f>'PlantInfo'!A191</x:f>
        <x:v>Solar</x:v>
      </x:c>
      <x:c r="C191" s="22" t="str">
        <x:f>'PlantInfo'!C191</x:f>
        <x:v>Tamil Nadu Sivaganga 16.55</x:v>
      </x:c>
      <x:c r="D191" s="23" t="n">
        <x:f>'PlantInfo'!G191</x:f>
        <x:v>16.55</x:v>
      </x:c>
      <x:c r="E191" s="23" t="n">
        <x:f>SUMIF('District Allocation'!$A$2:$A$508,A191,'District Allocation'!$K$2:$K$508)</x:f>
        <x:v>16.55</x:v>
      </x:c>
      <x:c r="F191" s="23" t="n">
        <x:f>E191-D191</x:f>
        <x:v>0</x:v>
      </x:c>
      <x:c r="G191" t="str">
        <x:f>IF(ABS(F191)&lt;0.000001,"OK","CHECK")</x:f>
        <x:v>OK</x:v>
      </x:c>
    </x:row>
    <x:row r="192">
      <x:c r="A192" t="n">
        <x:v>192</x:v>
      </x:c>
      <x:c r="B192" t="str">
        <x:f>'PlantInfo'!A192</x:f>
        <x:v>Solar</x:v>
      </x:c>
      <x:c r="C192" s="22" t="str">
        <x:f>'PlantInfo'!C192</x:f>
        <x:v>Tamil Nadu Thoothukkudi 28</x:v>
      </x:c>
      <x:c r="D192" s="23" t="n">
        <x:f>'PlantInfo'!G192</x:f>
        <x:v>28</x:v>
      </x:c>
      <x:c r="E192" s="23" t="n">
        <x:f>SUMIF('District Allocation'!$A$2:$A$508,A192,'District Allocation'!$K$2:$K$508)</x:f>
        <x:v>28</x:v>
      </x:c>
      <x:c r="F192" s="23" t="n">
        <x:f>E192-D192</x:f>
        <x:v>0</x:v>
      </x:c>
      <x:c r="G192" t="str">
        <x:f>IF(ABS(F192)&lt;0.000001,"OK","CHECK")</x:f>
        <x:v>OK</x:v>
      </x:c>
    </x:row>
    <x:row r="193">
      <x:c r="A193" t="n">
        <x:v>193</x:v>
      </x:c>
      <x:c r="B193" t="str">
        <x:f>'PlantInfo'!A193</x:f>
        <x:v>Solar</x:v>
      </x:c>
      <x:c r="C193" s="22" t="str">
        <x:f>'PlantInfo'!C193</x:f>
        <x:v>Tamil Nadu Tiruchirappalli 169</x:v>
      </x:c>
      <x:c r="D193" s="23" t="n">
        <x:f>'PlantInfo'!G193</x:f>
        <x:v>169</x:v>
      </x:c>
      <x:c r="E193" s="23" t="n">
        <x:f>SUMIF('District Allocation'!$A$2:$A$508,A193,'District Allocation'!$K$2:$K$508)</x:f>
        <x:v>169</x:v>
      </x:c>
      <x:c r="F193" s="23" t="n">
        <x:f>E193-D193</x:f>
        <x:v>0</x:v>
      </x:c>
      <x:c r="G193" t="str">
        <x:f>IF(ABS(F193)&lt;0.000001,"OK","CHECK")</x:f>
        <x:v>OK</x:v>
      </x:c>
    </x:row>
    <x:row r="194">
      <x:c r="A194" t="n">
        <x:v>194</x:v>
      </x:c>
      <x:c r="B194" t="str">
        <x:f>'PlantInfo'!A194</x:f>
        <x:v>Solar</x:v>
      </x:c>
      <x:c r="C194" s="22" t="str">
        <x:f>'PlantInfo'!C194</x:f>
        <x:v>Tamil Nadu Tirunelveli  309.36</x:v>
      </x:c>
      <x:c r="D194" s="23" t="n">
        <x:f>'PlantInfo'!G194</x:f>
        <x:v>309.36</x:v>
      </x:c>
      <x:c r="E194" s="23" t="n">
        <x:f>SUMIF('District Allocation'!$A$2:$A$508,A194,'District Allocation'!$K$2:$K$508)</x:f>
        <x:v>309.36</x:v>
      </x:c>
      <x:c r="F194" s="23" t="n">
        <x:f>E194-D194</x:f>
        <x:v>0</x:v>
      </x:c>
      <x:c r="G194" t="str">
        <x:f>IF(ABS(F194)&lt;0.000001,"OK","CHECK")</x:f>
        <x:v>OK</x:v>
      </x:c>
    </x:row>
    <x:row r="195">
      <x:c r="A195" t="n">
        <x:v>195</x:v>
      </x:c>
      <x:c r="B195" t="str">
        <x:f>'PlantInfo'!A195</x:f>
        <x:v>Solar</x:v>
      </x:c>
      <x:c r="C195" s="22" t="str">
        <x:f>'PlantInfo'!C195</x:f>
        <x:v>Tamil Nadu Tirunelveli, Tuticorin, Virudhunagar and Ramanathapuram 351</x:v>
      </x:c>
      <x:c r="D195" s="23" t="n">
        <x:f>'PlantInfo'!G195</x:f>
        <x:v>351</x:v>
      </x:c>
      <x:c r="E195" s="23" t="n">
        <x:f>SUMIF('District Allocation'!$A$2:$A$508,A195,'District Allocation'!$K$2:$K$508)</x:f>
        <x:v>351</x:v>
      </x:c>
      <x:c r="F195" s="23" t="n">
        <x:f>E195-D195</x:f>
        <x:v>0</x:v>
      </x:c>
      <x:c r="G195" t="str">
        <x:f>IF(ABS(F195)&lt;0.000001,"OK","CHECK")</x:f>
        <x:v>OK</x:v>
      </x:c>
    </x:row>
    <x:row r="196">
      <x:c r="A196" t="n">
        <x:v>196</x:v>
      </x:c>
      <x:c r="B196" t="str">
        <x:f>'PlantInfo'!A196</x:f>
        <x:v>Solar</x:v>
      </x:c>
      <x:c r="C196" s="22" t="str">
        <x:f>'PlantInfo'!C196</x:f>
        <x:v>Tamil Nadu Tiruppur 49.3</x:v>
      </x:c>
      <x:c r="D196" s="23" t="n">
        <x:f>'PlantInfo'!G196</x:f>
        <x:v>49.3</x:v>
      </x:c>
      <x:c r="E196" s="23" t="n">
        <x:f>SUMIF('District Allocation'!$A$2:$A$508,A196,'District Allocation'!$K$2:$K$508)</x:f>
        <x:v>49.3</x:v>
      </x:c>
      <x:c r="F196" s="23" t="n">
        <x:f>E196-D196</x:f>
        <x:v>0</x:v>
      </x:c>
      <x:c r="G196" t="str">
        <x:f>IF(ABS(F196)&lt;0.000001,"OK","CHECK")</x:f>
        <x:v>OK</x:v>
      </x:c>
    </x:row>
    <x:row r="197">
      <x:c r="A197" t="n">
        <x:v>197</x:v>
      </x:c>
      <x:c r="B197" t="str">
        <x:f>'PlantInfo'!A197</x:f>
        <x:v>Solar</x:v>
      </x:c>
      <x:c r="C197" s="22" t="str">
        <x:f>'PlantInfo'!C197</x:f>
        <x:v>Tamil Nadu Tiruvannamalai 31</x:v>
      </x:c>
      <x:c r="D197" s="23" t="n">
        <x:f>'PlantInfo'!G197</x:f>
        <x:v>31</x:v>
      </x:c>
      <x:c r="E197" s="23" t="n">
        <x:f>SUMIF('District Allocation'!$A$2:$A$508,A197,'District Allocation'!$K$2:$K$508)</x:f>
        <x:v>31</x:v>
      </x:c>
      <x:c r="F197" s="23" t="n">
        <x:f>E197-D197</x:f>
        <x:v>0</x:v>
      </x:c>
      <x:c r="G197" t="str">
        <x:f>IF(ABS(F197)&lt;0.000001,"OK","CHECK")</x:f>
        <x:v>OK</x:v>
      </x:c>
    </x:row>
    <x:row r="198">
      <x:c r="A198" t="n">
        <x:v>198</x:v>
      </x:c>
      <x:c r="B198" t="str">
        <x:f>'PlantInfo'!A198</x:f>
        <x:v>Solar</x:v>
      </x:c>
      <x:c r="C198" s="22" t="str">
        <x:f>'PlantInfo'!C198</x:f>
        <x:v>Tamil Nadu Vellore  5</x:v>
      </x:c>
      <x:c r="D198" s="23" t="n">
        <x:f>'PlantInfo'!G198</x:f>
        <x:v>5</x:v>
      </x:c>
      <x:c r="E198" s="23" t="n">
        <x:f>SUMIF('District Allocation'!$A$2:$A$508,A198,'District Allocation'!$K$2:$K$508)</x:f>
        <x:v>5</x:v>
      </x:c>
      <x:c r="F198" s="23" t="n">
        <x:f>E198-D198</x:f>
        <x:v>0</x:v>
      </x:c>
      <x:c r="G198" t="str">
        <x:f>IF(ABS(F198)&lt;0.000001,"OK","CHECK")</x:f>
        <x:v>OK</x:v>
      </x:c>
    </x:row>
    <x:row r="199">
      <x:c r="A199" t="n">
        <x:v>199</x:v>
      </x:c>
      <x:c r="B199" t="str">
        <x:f>'PlantInfo'!A199</x:f>
        <x:v>Solar</x:v>
      </x:c>
      <x:c r="C199" s="22" t="str">
        <x:f>'PlantInfo'!C199</x:f>
        <x:v>Tamil Nadu Virudhunagar 685.4</x:v>
      </x:c>
      <x:c r="D199" s="23" t="n">
        <x:f>'PlantInfo'!G199</x:f>
        <x:v>685.4</x:v>
      </x:c>
      <x:c r="E199" s="23" t="n">
        <x:f>SUMIF('District Allocation'!$A$2:$A$508,A199,'District Allocation'!$K$2:$K$508)</x:f>
        <x:v>685.4</x:v>
      </x:c>
      <x:c r="F199" s="23" t="n">
        <x:f>E199-D199</x:f>
        <x:v>0</x:v>
      </x:c>
      <x:c r="G199" t="str">
        <x:f>IF(ABS(F199)&lt;0.000001,"OK","CHECK")</x:f>
        <x:v>OK</x:v>
      </x:c>
    </x:row>
    <x:row r="200">
      <x:c r="A200" t="n">
        <x:v>200</x:v>
      </x:c>
      <x:c r="B200" t="str">
        <x:f>'PlantInfo'!A200</x:f>
        <x:v>Oil &amp; Gas</x:v>
      </x:c>
      <x:c r="C200" s="22" t="str">
        <x:f>'PlantInfo'!C200</x:f>
        <x:v>Basin Bridge Gas Turbine Power Station</x:v>
      </x:c>
      <x:c r="D200" s="23" t="n">
        <x:f>'PlantInfo'!G200</x:f>
        <x:v>30</x:v>
      </x:c>
      <x:c r="E200" s="23" t="n">
        <x:f>SUMIF('District Allocation'!$A$2:$A$508,A200,'District Allocation'!$K$2:$K$508)</x:f>
        <x:v>30</x:v>
      </x:c>
      <x:c r="F200" s="23" t="n">
        <x:f>E200-D200</x:f>
        <x:v>0</x:v>
      </x:c>
      <x:c r="G200" t="str">
        <x:f>IF(ABS(F200)&lt;0.000001,"OK","CHECK")</x:f>
        <x:v>OK</x:v>
      </x:c>
    </x:row>
    <x:row r="201">
      <x:c r="A201" t="n">
        <x:v>201</x:v>
      </x:c>
      <x:c r="B201" t="str">
        <x:f>'PlantInfo'!A201</x:f>
        <x:v>Oil &amp; Gas</x:v>
      </x:c>
      <x:c r="C201" s="22" t="str">
        <x:f>'PlantInfo'!C201</x:f>
        <x:v>Basin Bridge Gas Turbine Power Station</x:v>
      </x:c>
      <x:c r="D201" s="23" t="n">
        <x:f>'PlantInfo'!G201</x:f>
        <x:v>30</x:v>
      </x:c>
      <x:c r="E201" s="23" t="n">
        <x:f>SUMIF('District Allocation'!$A$2:$A$508,A201,'District Allocation'!$K$2:$K$508)</x:f>
        <x:v>30</x:v>
      </x:c>
      <x:c r="F201" s="23" t="n">
        <x:f>E201-D201</x:f>
        <x:v>0</x:v>
      </x:c>
      <x:c r="G201" t="str">
        <x:f>IF(ABS(F201)&lt;0.000001,"OK","CHECK")</x:f>
        <x:v>OK</x:v>
      </x:c>
    </x:row>
    <x:row r="202">
      <x:c r="A202" t="n">
        <x:v>202</x:v>
      </x:c>
      <x:c r="B202" t="str">
        <x:f>'PlantInfo'!A202</x:f>
        <x:v>Oil &amp; Gas</x:v>
      </x:c>
      <x:c r="C202" s="22" t="str">
        <x:f>'PlantInfo'!C202</x:f>
        <x:v>Basin Bridge Gas Turbine Power Station</x:v>
      </x:c>
      <x:c r="D202" s="23" t="n">
        <x:f>'PlantInfo'!G202</x:f>
        <x:v>30</x:v>
      </x:c>
      <x:c r="E202" s="23" t="n">
        <x:f>SUMIF('District Allocation'!$A$2:$A$508,A202,'District Allocation'!$K$2:$K$508)</x:f>
        <x:v>30</x:v>
      </x:c>
      <x:c r="F202" s="23" t="n">
        <x:f>E202-D202</x:f>
        <x:v>0</x:v>
      </x:c>
      <x:c r="G202" t="str">
        <x:f>IF(ABS(F202)&lt;0.000001,"OK","CHECK")</x:f>
        <x:v>OK</x:v>
      </x:c>
    </x:row>
    <x:row r="203">
      <x:c r="A203" t="n">
        <x:v>203</x:v>
      </x:c>
      <x:c r="B203" t="str">
        <x:f>'PlantInfo'!A203</x:f>
        <x:v>Oil &amp; Gas</x:v>
      </x:c>
      <x:c r="C203" s="22" t="str">
        <x:f>'PlantInfo'!C203</x:f>
        <x:v>Basin Bridge Gas Turbine Power Station</x:v>
      </x:c>
      <x:c r="D203" s="23" t="n">
        <x:f>'PlantInfo'!G203</x:f>
        <x:v>30</x:v>
      </x:c>
      <x:c r="E203" s="23" t="n">
        <x:f>SUMIF('District Allocation'!$A$2:$A$508,A203,'District Allocation'!$K$2:$K$508)</x:f>
        <x:v>30</x:v>
      </x:c>
      <x:c r="F203" s="23" t="n">
        <x:f>E203-D203</x:f>
        <x:v>0</x:v>
      </x:c>
      <x:c r="G203" t="str">
        <x:f>IF(ABS(F203)&lt;0.000001,"OK","CHECK")</x:f>
        <x:v>OK</x:v>
      </x:c>
    </x:row>
    <x:row r="204">
      <x:c r="A204" t="n">
        <x:v>204</x:v>
      </x:c>
      <x:c r="B204" t="str">
        <x:f>'PlantInfo'!A204</x:f>
        <x:v>Oil &amp; Gas</x:v>
      </x:c>
      <x:c r="C204" s="22" t="str">
        <x:f>'PlantInfo'!C204</x:f>
        <x:v>Karuppur Combined Cycle Power Plant</x:v>
      </x:c>
      <x:c r="D204" s="23" t="n">
        <x:f>'PlantInfo'!G204</x:f>
        <x:v>70</x:v>
      </x:c>
      <x:c r="E204" s="23" t="n">
        <x:f>SUMIF('District Allocation'!$A$2:$A$508,A204,'District Allocation'!$K$2:$K$508)</x:f>
        <x:v>70</x:v>
      </x:c>
      <x:c r="F204" s="23" t="n">
        <x:f>E204-D204</x:f>
        <x:v>0</x:v>
      </x:c>
      <x:c r="G204" t="str">
        <x:f>IF(ABS(F204)&lt;0.000001,"OK","CHECK")</x:f>
        <x:v>OK</x:v>
      </x:c>
    </x:row>
    <x:row r="205">
      <x:c r="A205" t="n">
        <x:v>205</x:v>
      </x:c>
      <x:c r="B205" t="str">
        <x:f>'PlantInfo'!A205</x:f>
        <x:v>Oil &amp; Gas</x:v>
      </x:c>
      <x:c r="C205" s="22" t="str">
        <x:f>'PlantInfo'!C205</x:f>
        <x:v>Karuppur Combined Cycle Power Plant</x:v>
      </x:c>
      <x:c r="D205" s="23" t="n">
        <x:f>'PlantInfo'!G205</x:f>
        <x:v>49.8</x:v>
      </x:c>
      <x:c r="E205" s="23" t="n">
        <x:f>SUMIF('District Allocation'!$A$2:$A$508,A205,'District Allocation'!$K$2:$K$508)</x:f>
        <x:v>49.8</x:v>
      </x:c>
      <x:c r="F205" s="23" t="n">
        <x:f>E205-D205</x:f>
        <x:v>0</x:v>
      </x:c>
      <x:c r="G205" t="str">
        <x:f>IF(ABS(F205)&lt;0.000001,"OK","CHECK")</x:f>
        <x:v>OK</x:v>
      </x:c>
    </x:row>
    <x:row r="206">
      <x:c r="A206" t="n">
        <x:v>206</x:v>
      </x:c>
      <x:c r="B206" t="str">
        <x:f>'PlantInfo'!A206</x:f>
        <x:v>Oil &amp; Gas</x:v>
      </x:c>
      <x:c r="C206" s="22" t="str">
        <x:f>'PlantInfo'!C206</x:f>
        <x:v>Kovilkalappal (Thirumakotai) Gas Combined Cycle Gas Turbine Power Station</x:v>
      </x:c>
      <x:c r="D206" s="23" t="n">
        <x:f>'PlantInfo'!G206</x:f>
        <x:v>69.65</x:v>
      </x:c>
      <x:c r="E206" s="23" t="n">
        <x:f>SUMIF('District Allocation'!$A$2:$A$508,A206,'District Allocation'!$K$2:$K$508)</x:f>
        <x:v>69.65</x:v>
      </x:c>
      <x:c r="F206" s="23" t="n">
        <x:f>E206-D206</x:f>
        <x:v>0</x:v>
      </x:c>
      <x:c r="G206" t="str">
        <x:f>IF(ABS(F206)&lt;0.000001,"OK","CHECK")</x:f>
        <x:v>OK</x:v>
      </x:c>
    </x:row>
    <x:row r="207">
      <x:c r="A207" t="n">
        <x:v>207</x:v>
      </x:c>
      <x:c r="B207" t="str">
        <x:f>'PlantInfo'!A207</x:f>
        <x:v>Oil &amp; Gas</x:v>
      </x:c>
      <x:c r="C207" s="22" t="str">
        <x:f>'PlantInfo'!C207</x:f>
        <x:v>Kovilkalappal (Thirumakotai) Gas Combined Cycle Gas Turbine Power Station</x:v>
      </x:c>
      <x:c r="D207" s="23" t="n">
        <x:f>'PlantInfo'!G207</x:f>
        <x:v>38.23</x:v>
      </x:c>
      <x:c r="E207" s="23" t="n">
        <x:f>SUMIF('District Allocation'!$A$2:$A$508,A207,'District Allocation'!$K$2:$K$508)</x:f>
        <x:v>38.23</x:v>
      </x:c>
      <x:c r="F207" s="23" t="n">
        <x:f>E207-D207</x:f>
        <x:v>0</x:v>
      </x:c>
      <x:c r="G207" t="str">
        <x:f>IF(ABS(F207)&lt;0.000001,"OK","CHECK")</x:f>
        <x:v>OK</x:v>
      </x:c>
    </x:row>
    <x:row r="208">
      <x:c r="A208" t="n">
        <x:v>208</x:v>
      </x:c>
      <x:c r="B208" t="str">
        <x:f>'PlantInfo'!A208</x:f>
        <x:v>Oil &amp; Gas</x:v>
      </x:c>
      <x:c r="C208" s="22" t="str">
        <x:f>'PlantInfo'!C208</x:f>
        <x:v>Kuttalam Gas Turbine Power Station</x:v>
      </x:c>
      <x:c r="D208" s="23" t="n">
        <x:f>'PlantInfo'!G208</x:f>
        <x:v>63</x:v>
      </x:c>
      <x:c r="E208" s="23" t="n">
        <x:f>SUMIF('District Allocation'!$A$2:$A$508,A208,'District Allocation'!$K$2:$K$508)</x:f>
        <x:v>63</x:v>
      </x:c>
      <x:c r="F208" s="23" t="n">
        <x:f>E208-D208</x:f>
        <x:v>0</x:v>
      </x:c>
      <x:c r="G208" t="str">
        <x:f>IF(ABS(F208)&lt;0.000001,"OK","CHECK")</x:f>
        <x:v>OK</x:v>
      </x:c>
    </x:row>
    <x:row r="209">
      <x:c r="A209" t="n">
        <x:v>209</x:v>
      </x:c>
      <x:c r="B209" t="str">
        <x:f>'PlantInfo'!A209</x:f>
        <x:v>Oil &amp; Gas</x:v>
      </x:c>
      <x:c r="C209" s="22" t="str">
        <x:f>'PlantInfo'!C209</x:f>
        <x:v>Kuttalam Gas Turbine Power Station</x:v>
      </x:c>
      <x:c r="D209" s="23" t="n">
        <x:f>'PlantInfo'!G209</x:f>
        <x:v>37</x:v>
      </x:c>
      <x:c r="E209" s="23" t="n">
        <x:f>SUMIF('District Allocation'!$A$2:$A$508,A209,'District Allocation'!$K$2:$K$508)</x:f>
        <x:v>37</x:v>
      </x:c>
      <x:c r="F209" s="23" t="n">
        <x:f>E209-D209</x:f>
        <x:v>0</x:v>
      </x:c>
      <x:c r="G209" t="str">
        <x:f>IF(ABS(F209)&lt;0.000001,"OK","CHECK")</x:f>
        <x:v>OK</x:v>
      </x:c>
    </x:row>
    <x:row r="210">
      <x:c r="A210" t="n">
        <x:v>210</x:v>
      </x:c>
      <x:c r="B210" t="str">
        <x:f>'PlantInfo'!A210</x:f>
        <x:v>Oil &amp; Gas</x:v>
      </x:c>
      <x:c r="C210" s="22" t="str">
        <x:f>'PlantInfo'!C210</x:f>
        <x:v>Pillaiperumalnallur (PPN) Power Plant Phase I</x:v>
      </x:c>
      <x:c r="D210" s="23" t="n">
        <x:f>'PlantInfo'!G210</x:f>
        <x:v>225</x:v>
      </x:c>
      <x:c r="E210" s="23" t="n">
        <x:f>SUMIF('District Allocation'!$A$2:$A$508,A210,'District Allocation'!$K$2:$K$508)</x:f>
        <x:v>225</x:v>
      </x:c>
      <x:c r="F210" s="23" t="n">
        <x:f>E210-D210</x:f>
        <x:v>0</x:v>
      </x:c>
      <x:c r="G210" t="str">
        <x:f>IF(ABS(F210)&lt;0.000001,"OK","CHECK")</x:f>
        <x:v>OK</x:v>
      </x:c>
    </x:row>
    <x:row r="211">
      <x:c r="A211" t="n">
        <x:v>211</x:v>
      </x:c>
      <x:c r="B211" t="str">
        <x:f>'PlantInfo'!A211</x:f>
        <x:v>Oil &amp; Gas</x:v>
      </x:c>
      <x:c r="C211" s="22" t="str">
        <x:f>'PlantInfo'!C211</x:f>
        <x:v>Pillaiperumalnallur (PPN) Power Plant Phase I</x:v>
      </x:c>
      <x:c r="D211" s="23" t="n">
        <x:f>'PlantInfo'!G211</x:f>
        <x:v>105.5</x:v>
      </x:c>
      <x:c r="E211" s="23" t="n">
        <x:f>SUMIF('District Allocation'!$A$2:$A$508,A211,'District Allocation'!$K$2:$K$508)</x:f>
        <x:v>105.5</x:v>
      </x:c>
      <x:c r="F211" s="23" t="n">
        <x:f>E211-D211</x:f>
        <x:v>0</x:v>
      </x:c>
      <x:c r="G211" t="str">
        <x:f>IF(ABS(F211)&lt;0.000001,"OK","CHECK")</x:f>
        <x:v>OK</x:v>
      </x:c>
    </x:row>
    <x:row r="212">
      <x:c r="A212" t="n">
        <x:v>212</x:v>
      </x:c>
      <x:c r="B212" t="str">
        <x:f>'PlantInfo'!A212</x:f>
        <x:v>Oil &amp; Gas</x:v>
      </x:c>
      <x:c r="C212" s="22" t="str">
        <x:f>'PlantInfo'!C212</x:f>
        <x:v>Valantharavai Combined Cycle Gas Power Plant</x:v>
      </x:c>
      <x:c r="D212" s="23" t="n">
        <x:f>'PlantInfo'!G212</x:f>
        <x:v>38</x:v>
      </x:c>
      <x:c r="E212" s="23" t="n">
        <x:f>SUMIF('District Allocation'!$A$2:$A$508,A212,'District Allocation'!$K$2:$K$508)</x:f>
        <x:v>38</x:v>
      </x:c>
      <x:c r="F212" s="23" t="n">
        <x:f>E212-D212</x:f>
        <x:v>0</x:v>
      </x:c>
      <x:c r="G212" t="str">
        <x:f>IF(ABS(F212)&lt;0.000001,"OK","CHECK")</x:f>
        <x:v>OK</x:v>
      </x:c>
    </x:row>
    <x:row r="213">
      <x:c r="A213" t="n">
        <x:v>213</x:v>
      </x:c>
      <x:c r="B213" t="str">
        <x:f>'PlantInfo'!A213</x:f>
        <x:v>Oil &amp; Gas</x:v>
      </x:c>
      <x:c r="C213" s="22" t="str">
        <x:f>'PlantInfo'!C213</x:f>
        <x:v>Valantharavai Combined Cycle Gas Power Plant</x:v>
      </x:c>
      <x:c r="D213" s="23" t="n">
        <x:f>'PlantInfo'!G213</x:f>
        <x:v>14.8</x:v>
      </x:c>
      <x:c r="E213" s="23" t="n">
        <x:f>SUMIF('District Allocation'!$A$2:$A$508,A213,'District Allocation'!$K$2:$K$508)</x:f>
        <x:v>14.8</x:v>
      </x:c>
      <x:c r="F213" s="23" t="n">
        <x:f>E213-D213</x:f>
        <x:v>0</x:v>
      </x:c>
      <x:c r="G213" t="str">
        <x:f>IF(ABS(F213)&lt;0.000001,"OK","CHECK")</x:f>
        <x:v>OK</x:v>
      </x:c>
    </x:row>
    <x:row r="214">
      <x:c r="A214" t="n">
        <x:v>214</x:v>
      </x:c>
      <x:c r="B214" t="str">
        <x:f>'PlantInfo'!A214</x:f>
        <x:v>Oil &amp; Gas</x:v>
      </x:c>
      <x:c r="C214" s="22" t="str">
        <x:f>'PlantInfo'!C214</x:f>
        <x:v>Valuthur Gas Turbine Power Station</x:v>
      </x:c>
      <x:c r="D214" s="23" t="n">
        <x:f>'PlantInfo'!G214</x:f>
        <x:v>60</x:v>
      </x:c>
      <x:c r="E214" s="23" t="n">
        <x:f>SUMIF('District Allocation'!$A$2:$A$508,A214,'District Allocation'!$K$2:$K$508)</x:f>
        <x:v>60</x:v>
      </x:c>
      <x:c r="F214" s="23" t="n">
        <x:f>E214-D214</x:f>
        <x:v>0</x:v>
      </x:c>
      <x:c r="G214" t="str">
        <x:f>IF(ABS(F214)&lt;0.000001,"OK","CHECK")</x:f>
        <x:v>OK</x:v>
      </x:c>
    </x:row>
    <x:row r="215">
      <x:c r="A215" t="n">
        <x:v>215</x:v>
      </x:c>
      <x:c r="B215" t="str">
        <x:f>'PlantInfo'!A215</x:f>
        <x:v>Oil &amp; Gas</x:v>
      </x:c>
      <x:c r="C215" s="22" t="str">
        <x:f>'PlantInfo'!C215</x:f>
        <x:v>Valuthur Gas Turbine Power Station</x:v>
      </x:c>
      <x:c r="D215" s="23" t="n">
        <x:f>'PlantInfo'!G215</x:f>
        <x:v>34</x:v>
      </x:c>
      <x:c r="E215" s="23" t="n">
        <x:f>SUMIF('District Allocation'!$A$2:$A$508,A215,'District Allocation'!$K$2:$K$508)</x:f>
        <x:v>34</x:v>
      </x:c>
      <x:c r="F215" s="23" t="n">
        <x:f>E215-D215</x:f>
        <x:v>0</x:v>
      </x:c>
      <x:c r="G215" t="str">
        <x:f>IF(ABS(F215)&lt;0.000001,"OK","CHECK")</x:f>
        <x:v>OK</x:v>
      </x:c>
    </x:row>
    <x:row r="216">
      <x:c r="A216" t="n">
        <x:v>216</x:v>
      </x:c>
      <x:c r="B216" t="str">
        <x:f>'PlantInfo'!A216</x:f>
        <x:v>Oil &amp; Gas</x:v>
      </x:c>
      <x:c r="C216" s="22" t="str">
        <x:f>'PlantInfo'!C216</x:f>
        <x:v>Valuthur Gas Turbine Power Station</x:v>
      </x:c>
      <x:c r="D216" s="23" t="n">
        <x:f>'PlantInfo'!G216</x:f>
        <x:v>59.8</x:v>
      </x:c>
      <x:c r="E216" s="23" t="n">
        <x:f>SUMIF('District Allocation'!$A$2:$A$508,A216,'District Allocation'!$K$2:$K$508)</x:f>
        <x:v>59.8</x:v>
      </x:c>
      <x:c r="F216" s="23" t="n">
        <x:f>E216-D216</x:f>
        <x:v>0</x:v>
      </x:c>
      <x:c r="G216" t="str">
        <x:f>IF(ABS(F216)&lt;0.000001,"OK","CHECK")</x:f>
        <x:v>OK</x:v>
      </x:c>
    </x:row>
    <x:row r="217">
      <x:c r="A217" t="n">
        <x:v>217</x:v>
      </x:c>
      <x:c r="B217" t="str">
        <x:f>'PlantInfo'!A217</x:f>
        <x:v>Oil &amp; Gas</x:v>
      </x:c>
      <x:c r="C217" s="22" t="str">
        <x:f>'PlantInfo'!C217</x:f>
        <x:v>Valuthur Gas Turbine Power Station</x:v>
      </x:c>
      <x:c r="D217" s="23" t="n">
        <x:f>'PlantInfo'!G217</x:f>
        <x:v>32.4</x:v>
      </x:c>
      <x:c r="E217" s="23" t="n">
        <x:f>SUMIF('District Allocation'!$A$2:$A$508,A217,'District Allocation'!$K$2:$K$508)</x:f>
        <x:v>32.4</x:v>
      </x:c>
      <x:c r="F217" s="23" t="n">
        <x:f>E217-D217</x:f>
        <x:v>0</x:v>
      </x:c>
      <x:c r="G217" t="str">
        <x:f>IF(ABS(F217)&lt;0.000001,"OK","CHECK")</x:f>
        <x:v>OK</x:v>
      </x:c>
    </x:row>
    <x:row r="218">
      <x:c r="A218" t="n">
        <x:v>218</x:v>
      </x:c>
      <x:c r="B218" t="str">
        <x:f>'PlantInfo'!A218</x:f>
        <x:v>Bio Power</x:v>
      </x:c>
      <x:c r="C218" s="22" t="str">
        <x:f>'PlantInfo'!C218</x:f>
        <x:v>Ambika Sugars (Previously M/s. SREL) Tamil Nadu Cuddalore 40</x:v>
      </x:c>
      <x:c r="D218" s="23" t="n">
        <x:f>'PlantInfo'!G218</x:f>
        <x:v>40</x:v>
      </x:c>
      <x:c r="E218" s="23" t="n">
        <x:f>SUMIF('District Allocation'!$A$2:$A$508,A218,'District Allocation'!$K$2:$K$508)</x:f>
        <x:v>40</x:v>
      </x:c>
      <x:c r="F218" s="23" t="n">
        <x:f>E218-D218</x:f>
        <x:v>0</x:v>
      </x:c>
      <x:c r="G218" t="str">
        <x:f>IF(ABS(F218)&lt;0.000001,"OK","CHECK")</x:f>
        <x:v>OK</x:v>
      </x:c>
    </x:row>
    <x:row r="219">
      <x:c r="A219" t="n">
        <x:v>219</x:v>
      </x:c>
      <x:c r="B219" t="str">
        <x:f>'PlantInfo'!A219</x:f>
        <x:v>Bio Power</x:v>
      </x:c>
      <x:c r="C219" s="22" t="str">
        <x:f>'PlantInfo'!C219</x:f>
        <x:v>Arashi Hi-Tech Bio-Power 
Ltd. Tamil Nadu Coimbatore 1.6</x:v>
      </x:c>
      <x:c r="D219" s="23" t="n">
        <x:f>'PlantInfo'!G219</x:f>
        <x:v>1.6</x:v>
      </x:c>
      <x:c r="E219" s="23" t="n">
        <x:f>SUMIF('District Allocation'!$A$2:$A$508,A219,'District Allocation'!$K$2:$K$508)</x:f>
        <x:v>1.6</x:v>
      </x:c>
      <x:c r="F219" s="23" t="n">
        <x:f>E219-D219</x:f>
        <x:v>0</x:v>
      </x:c>
      <x:c r="G219" t="str">
        <x:f>IF(ABS(F219)&lt;0.000001,"OK","CHECK")</x:f>
        <x:v>OK</x:v>
      </x:c>
    </x:row>
    <x:row r="220">
      <x:c r="A220" t="n">
        <x:v>220</x:v>
      </x:c>
      <x:c r="B220" t="str">
        <x:f>'PlantInfo'!A220</x:f>
        <x:v>Bio Power</x:v>
      </x:c>
      <x:c r="C220" s="22" t="str">
        <x:f>'PlantInfo'!C220</x:f>
        <x:v>Arunachala Sugars Ltd. Tamil Nadu Tiruvannamalai 19</x:v>
      </x:c>
      <x:c r="D220" s="23" t="n">
        <x:f>'PlantInfo'!G220</x:f>
        <x:v>19</x:v>
      </x:c>
      <x:c r="E220" s="23" t="n">
        <x:f>SUMIF('District Allocation'!$A$2:$A$508,A220,'District Allocation'!$K$2:$K$508)</x:f>
        <x:v>19</x:v>
      </x:c>
      <x:c r="F220" s="23" t="n">
        <x:f>E220-D220</x:f>
        <x:v>0</x:v>
      </x:c>
      <x:c r="G220" t="str">
        <x:f>IF(ABS(F220)&lt;0.000001,"OK","CHECK")</x:f>
        <x:v>OK</x:v>
      </x:c>
    </x:row>
    <x:row r="221">
      <x:c r="A221" t="n">
        <x:v>221</x:v>
      </x:c>
      <x:c r="B221" t="str">
        <x:f>'PlantInfo'!A221</x:f>
        <x:v>Bio Power</x:v>
      </x:c>
      <x:c r="C221" s="22" t="str">
        <x:f>'PlantInfo'!C221</x:f>
        <x:v>Astro Energy and Bio Systems Ltd. Tamil Nadu Madurai 10</x:v>
      </x:c>
      <x:c r="D221" s="23" t="n">
        <x:f>'PlantInfo'!G221</x:f>
        <x:v>10</x:v>
      </x:c>
      <x:c r="E221" s="23" t="n">
        <x:f>SUMIF('District Allocation'!$A$2:$A$508,A221,'District Allocation'!$K$2:$K$508)</x:f>
        <x:v>10</x:v>
      </x:c>
      <x:c r="F221" s="23" t="n">
        <x:f>E221-D221</x:f>
        <x:v>0</x:v>
      </x:c>
      <x:c r="G221" t="str">
        <x:f>IF(ABS(F221)&lt;0.000001,"OK","CHECK")</x:f>
        <x:v>OK</x:v>
      </x:c>
    </x:row>
    <x:row r="222">
      <x:c r="A222" t="n">
        <x:v>222</x:v>
      </x:c>
      <x:c r="B222" t="str">
        <x:f>'PlantInfo'!A222</x:f>
        <x:v>Bio Power</x:v>
      </x:c>
      <x:c r="C222" s="22" t="str">
        <x:f>'PlantInfo'!C222</x:f>
        <x:v>Auro Energy Ltd. Tamil Nadu Thanjavur 16</x:v>
      </x:c>
      <x:c r="D222" s="23" t="n">
        <x:f>'PlantInfo'!G222</x:f>
        <x:v>16</x:v>
      </x:c>
      <x:c r="E222" s="23" t="n">
        <x:f>SUMIF('District Allocation'!$A$2:$A$508,A222,'District Allocation'!$K$2:$K$508)</x:f>
        <x:v>16</x:v>
      </x:c>
      <x:c r="F222" s="23" t="n">
        <x:f>E222-D222</x:f>
        <x:v>0</x:v>
      </x:c>
      <x:c r="G222" t="str">
        <x:f>IF(ABS(F222)&lt;0.000001,"OK","CHECK")</x:f>
        <x:v>OK</x:v>
      </x:c>
    </x:row>
    <x:row r="223">
      <x:c r="A223" t="n">
        <x:v>223</x:v>
      </x:c>
      <x:c r="B223" t="str">
        <x:f>'PlantInfo'!A223</x:f>
        <x:v>Bio Power</x:v>
      </x:c>
      <x:c r="C223" s="22" t="str">
        <x:f>'PlantInfo'!C223</x:f>
        <x:v>Aurobindo Agro Energy Pvt. Ltd. Tamil Nadu Sivaganga 15</x:v>
      </x:c>
      <x:c r="D223" s="23" t="n">
        <x:f>'PlantInfo'!G223</x:f>
        <x:v>15</x:v>
      </x:c>
      <x:c r="E223" s="23" t="n">
        <x:f>SUMIF('District Allocation'!$A$2:$A$508,A223,'District Allocation'!$K$2:$K$508)</x:f>
        <x:v>15</x:v>
      </x:c>
      <x:c r="F223" s="23" t="n">
        <x:f>E223-D223</x:f>
        <x:v>0</x:v>
      </x:c>
      <x:c r="G223" t="str">
        <x:f>IF(ABS(F223)&lt;0.000001,"OK","CHECK")</x:f>
        <x:v>OK</x:v>
      </x:c>
    </x:row>
    <x:row r="224">
      <x:c r="A224" t="n">
        <x:v>224</x:v>
      </x:c>
      <x:c r="B224" t="str">
        <x:f>'PlantInfo'!A224</x:f>
        <x:v>Bio Power</x:v>
      </x:c>
      <x:c r="C224" s="22" t="str">
        <x:f>'PlantInfo'!C224</x:f>
        <x:v>Auromira Bio Power
India (P) Ltd Tamil Nadu Tirunelveli 15</x:v>
      </x:c>
      <x:c r="D224" s="23" t="n">
        <x:f>'PlantInfo'!G224</x:f>
        <x:v>15</x:v>
      </x:c>
      <x:c r="E224" s="23" t="n">
        <x:f>SUMIF('District Allocation'!$A$2:$A$508,A224,'District Allocation'!$K$2:$K$508)</x:f>
        <x:v>15</x:v>
      </x:c>
      <x:c r="F224" s="23" t="n">
        <x:f>E224-D224</x:f>
        <x:v>0</x:v>
      </x:c>
      <x:c r="G224" t="str">
        <x:f>IF(ABS(F224)&lt;0.000001,"OK","CHECK")</x:f>
        <x:v>OK</x:v>
      </x:c>
    </x:row>
    <x:row r="225">
      <x:c r="A225" t="n">
        <x:v>225</x:v>
      </x:c>
      <x:c r="B225" t="str">
        <x:f>'PlantInfo'!A225</x:f>
        <x:v>Bio Power</x:v>
      </x:c>
      <x:c r="C225" s="22" t="str">
        <x:f>'PlantInfo'!C225</x:f>
        <x:v>Bannari Amman Sugars Ltd. Tamil Nadu Erode 20</x:v>
      </x:c>
      <x:c r="D225" s="23" t="n">
        <x:f>'PlantInfo'!G225</x:f>
        <x:v>20</x:v>
      </x:c>
      <x:c r="E225" s="23" t="n">
        <x:f>SUMIF('District Allocation'!$A$2:$A$508,A225,'District Allocation'!$K$2:$K$508)</x:f>
        <x:v>20</x:v>
      </x:c>
      <x:c r="F225" s="23" t="n">
        <x:f>E225-D225</x:f>
        <x:v>0</x:v>
      </x:c>
      <x:c r="G225" t="str">
        <x:f>IF(ABS(F225)&lt;0.000001,"OK","CHECK")</x:f>
        <x:v>OK</x:v>
      </x:c>
    </x:row>
    <x:row r="226">
      <x:c r="A226" t="n">
        <x:v>226</x:v>
      </x:c>
      <x:c r="B226" t="str">
        <x:f>'PlantInfo'!A226</x:f>
        <x:v>Bio Power</x:v>
      </x:c>
      <x:c r="C226" s="22" t="str">
        <x:f>'PlantInfo'!C226</x:f>
        <x:v>Bannari Amman Sugars and Chemicals Ltd. Tamil Nadu Tiruvannamalai 28.8</x:v>
      </x:c>
      <x:c r="D226" s="23" t="n">
        <x:f>'PlantInfo'!G226</x:f>
        <x:v>28.8</x:v>
      </x:c>
      <x:c r="E226" s="23" t="n">
        <x:f>SUMIF('District Allocation'!$A$2:$A$508,A226,'District Allocation'!$K$2:$K$508)</x:f>
        <x:v>28.8</x:v>
      </x:c>
      <x:c r="F226" s="23" t="n">
        <x:f>E226-D226</x:f>
        <x:v>0</x:v>
      </x:c>
      <x:c r="G226" t="str">
        <x:f>IF(ABS(F226)&lt;0.000001,"OK","CHECK")</x:f>
        <x:v>OK</x:v>
      </x:c>
    </x:row>
    <x:row r="227">
      <x:c r="A227" t="n">
        <x:v>227</x:v>
      </x:c>
      <x:c r="B227" t="str">
        <x:f>'PlantInfo'!A227</x:f>
        <x:v>Bio Power</x:v>
      </x:c>
      <x:c r="C227" s="22" t="str">
        <x:f>'PlantInfo'!C227</x:f>
        <x:v>C.M.D.A., Koyambedu Veg. Market Bio-metharation plant Tamil Nadu Chennai 0.25</x:v>
      </x:c>
      <x:c r="D227" s="23" t="n">
        <x:f>'PlantInfo'!G227</x:f>
        <x:v>0.25</x:v>
      </x:c>
      <x:c r="E227" s="23" t="n">
        <x:f>SUMIF('District Allocation'!$A$2:$A$508,A227,'District Allocation'!$K$2:$K$508)</x:f>
        <x:v>0.25</x:v>
      </x:c>
      <x:c r="F227" s="23" t="n">
        <x:f>E227-D227</x:f>
        <x:v>0</x:v>
      </x:c>
      <x:c r="G227" t="str">
        <x:f>IF(ABS(F227)&lt;0.000001,"OK","CHECK")</x:f>
        <x:v>OK</x:v>
      </x:c>
    </x:row>
    <x:row r="228">
      <x:c r="A228" t="n">
        <x:v>228</x:v>
      </x:c>
      <x:c r="B228" t="str">
        <x:f>'PlantInfo'!A228</x:f>
        <x:v>Bio Power</x:v>
      </x:c>
      <x:c r="C228" s="22" t="str">
        <x:f>'PlantInfo'!C228</x:f>
        <x:v>Cheyyar Co.op Sugar Mills Tamil Nadu Tiruvannamalai 7.5</x:v>
      </x:c>
      <x:c r="D228" s="23" t="n">
        <x:f>'PlantInfo'!G228</x:f>
        <x:v>7.5</x:v>
      </x:c>
      <x:c r="E228" s="23" t="n">
        <x:f>SUMIF('District Allocation'!$A$2:$A$508,A228,'District Allocation'!$K$2:$K$508)</x:f>
        <x:v>7.5</x:v>
      </x:c>
      <x:c r="F228" s="23" t="n">
        <x:f>E228-D228</x:f>
        <x:v>0</x:v>
      </x:c>
      <x:c r="G228" t="str">
        <x:f>IF(ABS(F228)&lt;0.000001,"OK","CHECK")</x:f>
        <x:v>OK</x:v>
      </x:c>
    </x:row>
    <x:row r="229">
      <x:c r="A229" t="n">
        <x:v>229</x:v>
      </x:c>
      <x:c r="B229" t="str">
        <x:f>'PlantInfo'!A229</x:f>
        <x:v>Bio Power</x:v>
      </x:c>
      <x:c r="C229" s="22" t="str">
        <x:f>'PlantInfo'!C229</x:f>
        <x:v>Chitra Bio Energy Ltd. Tamil Nadu Pudukkottai 7.5</x:v>
      </x:c>
      <x:c r="D229" s="23" t="n">
        <x:f>'PlantInfo'!G229</x:f>
        <x:v>7.5</x:v>
      </x:c>
      <x:c r="E229" s="23" t="n">
        <x:f>SUMIF('District Allocation'!$A$2:$A$508,A229,'District Allocation'!$K$2:$K$508)</x:f>
        <x:v>7.5</x:v>
      </x:c>
      <x:c r="F229" s="23" t="n">
        <x:f>E229-D229</x:f>
        <x:v>0</x:v>
      </x:c>
      <x:c r="G229" t="str">
        <x:f>IF(ABS(F229)&lt;0.000001,"OK","CHECK")</x:f>
        <x:v>OK</x:v>
      </x:c>
    </x:row>
    <x:row r="230">
      <x:c r="A230" t="n">
        <x:v>230</x:v>
      </x:c>
      <x:c r="B230" t="str">
        <x:f>'PlantInfo'!A230</x:f>
        <x:v>Bio Power</x:v>
      </x:c>
      <x:c r="C230" s="22" t="str">
        <x:f>'PlantInfo'!C230</x:f>
        <x:v>Dhanalakshmi Srinivasan Sugars Pvt Ltd. Tamil Nadu Perambalur 25</x:v>
      </x:c>
      <x:c r="D230" s="23" t="n">
        <x:f>'PlantInfo'!G230</x:f>
        <x:v>25</x:v>
      </x:c>
      <x:c r="E230" s="23" t="n">
        <x:f>SUMIF('District Allocation'!$A$2:$A$508,A230,'District Allocation'!$K$2:$K$508)</x:f>
        <x:v>25</x:v>
      </x:c>
      <x:c r="F230" s="23" t="n">
        <x:f>E230-D230</x:f>
        <x:v>0</x:v>
      </x:c>
      <x:c r="G230" t="str">
        <x:f>IF(ABS(F230)&lt;0.000001,"OK","CHECK")</x:f>
        <x:v>OK</x:v>
      </x:c>
    </x:row>
    <x:row r="231">
      <x:c r="A231" t="n">
        <x:v>231</x:v>
      </x:c>
      <x:c r="B231" t="str">
        <x:f>'PlantInfo'!A231</x:f>
        <x:v>Bio Power</x:v>
      </x:c>
      <x:c r="C231" s="22" t="str">
        <x:f>'PlantInfo'!C231</x:f>
        <x:v>Dharani Sugars &amp; Chemical Ltd. Tamil Nadu Tiruvannamalai 15</x:v>
      </x:c>
      <x:c r="D231" s="23" t="n">
        <x:f>'PlantInfo'!G231</x:f>
        <x:v>15</x:v>
      </x:c>
      <x:c r="E231" s="23" t="n">
        <x:f>SUMIF('District Allocation'!$A$2:$A$508,A231,'District Allocation'!$K$2:$K$508)</x:f>
        <x:v>15</x:v>
      </x:c>
      <x:c r="F231" s="23" t="n">
        <x:f>E231-D231</x:f>
        <x:v>0</x:v>
      </x:c>
      <x:c r="G231" t="str">
        <x:f>IF(ABS(F231)&lt;0.000001,"OK","CHECK")</x:f>
        <x:v>OK</x:v>
      </x:c>
    </x:row>
    <x:row r="232">
      <x:c r="A232" t="n">
        <x:v>232</x:v>
      </x:c>
      <x:c r="B232" t="str">
        <x:f>'PlantInfo'!A232</x:f>
        <x:v>Bio Power</x:v>
      </x:c>
      <x:c r="C232" s="22" t="str">
        <x:f>'PlantInfo'!C232</x:f>
        <x:v>Dharani Sugars &amp; Chemical Ltd. Tamil Nadu Viluppuram 22</x:v>
      </x:c>
      <x:c r="D232" s="23" t="n">
        <x:f>'PlantInfo'!G232</x:f>
        <x:v>22</x:v>
      </x:c>
      <x:c r="E232" s="23" t="n">
        <x:f>SUMIF('District Allocation'!$A$2:$A$508,A232,'District Allocation'!$K$2:$K$508)</x:f>
        <x:v>22</x:v>
      </x:c>
      <x:c r="F232" s="23" t="n">
        <x:f>E232-D232</x:f>
        <x:v>0</x:v>
      </x:c>
      <x:c r="G232" t="str">
        <x:f>IF(ABS(F232)&lt;0.000001,"OK","CHECK")</x:f>
        <x:v>OK</x:v>
      </x:c>
    </x:row>
    <x:row r="233">
      <x:c r="A233" t="n">
        <x:v>233</x:v>
      </x:c>
      <x:c r="B233" t="str">
        <x:f>'PlantInfo'!A233</x:f>
        <x:v>Bio Power</x:v>
      </x:c>
      <x:c r="C233" s="22" t="str">
        <x:f>'PlantInfo'!C233</x:f>
        <x:v>EID Parry India Ltd. Tamil Nadu Cuddalore 24.5</x:v>
      </x:c>
      <x:c r="D233" s="23" t="n">
        <x:f>'PlantInfo'!G233</x:f>
        <x:v>24.5</x:v>
      </x:c>
      <x:c r="E233" s="23" t="n">
        <x:f>SUMIF('District Allocation'!$A$2:$A$508,A233,'District Allocation'!$K$2:$K$508)</x:f>
        <x:v>24.5</x:v>
      </x:c>
      <x:c r="F233" s="23" t="n">
        <x:f>E233-D233</x:f>
        <x:v>0</x:v>
      </x:c>
      <x:c r="G233" t="str">
        <x:f>IF(ABS(F233)&lt;0.000001,"OK","CHECK")</x:f>
        <x:v>OK</x:v>
      </x:c>
    </x:row>
    <x:row r="234">
      <x:c r="A234" t="n">
        <x:v>234</x:v>
      </x:c>
      <x:c r="B234" t="str">
        <x:f>'PlantInfo'!A234</x:f>
        <x:v>Bio Power</x:v>
      </x:c>
      <x:c r="C234" s="22" t="str">
        <x:f>'PlantInfo'!C234</x:f>
        <x:v>EID Parry India Ltd. Tamil Nadu Karur 22</x:v>
      </x:c>
      <x:c r="D234" s="23" t="n">
        <x:f>'PlantInfo'!G234</x:f>
        <x:v>22</x:v>
      </x:c>
      <x:c r="E234" s="23" t="n">
        <x:f>SUMIF('District Allocation'!$A$2:$A$508,A234,'District Allocation'!$K$2:$K$508)</x:f>
        <x:v>22</x:v>
      </x:c>
      <x:c r="F234" s="23" t="n">
        <x:f>E234-D234</x:f>
        <x:v>0</x:v>
      </x:c>
      <x:c r="G234" t="str">
        <x:f>IF(ABS(F234)&lt;0.000001,"OK","CHECK")</x:f>
        <x:v>OK</x:v>
      </x:c>
    </x:row>
    <x:row r="235">
      <x:c r="A235" t="n">
        <x:v>235</x:v>
      </x:c>
      <x:c r="B235" t="str">
        <x:f>'PlantInfo'!A235</x:f>
        <x:v>Bio Power</x:v>
      </x:c>
      <x:c r="C235" s="22" t="str">
        <x:f>'PlantInfo'!C235</x:f>
        <x:v>EID Parry India Ltd. Tamil Nadu Pudukkottai 18</x:v>
      </x:c>
      <x:c r="D235" s="23" t="n">
        <x:f>'PlantInfo'!G235</x:f>
        <x:v>18</x:v>
      </x:c>
      <x:c r="E235" s="23" t="n">
        <x:f>SUMIF('District Allocation'!$A$2:$A$508,A235,'District Allocation'!$K$2:$K$508)</x:f>
        <x:v>18</x:v>
      </x:c>
      <x:c r="F235" s="23" t="n">
        <x:f>E235-D235</x:f>
        <x:v>0</x:v>
      </x:c>
      <x:c r="G235" t="str">
        <x:f>IF(ABS(F235)&lt;0.000001,"OK","CHECK")</x:f>
        <x:v>OK</x:v>
      </x:c>
    </x:row>
    <x:row r="236">
      <x:c r="A236" t="n">
        <x:v>236</x:v>
      </x:c>
      <x:c r="B236" t="str">
        <x:f>'PlantInfo'!A236</x:f>
        <x:v>Bio Power</x:v>
      </x:c>
      <x:c r="C236" s="22" t="str">
        <x:f>'PlantInfo'!C236</x:f>
        <x:v>EID Parry India Ltd. Tamil Nadu Tiruchirappalli 18</x:v>
      </x:c>
      <x:c r="D236" s="23" t="n">
        <x:f>'PlantInfo'!G236</x:f>
        <x:v>18</x:v>
      </x:c>
      <x:c r="E236" s="23" t="n">
        <x:f>SUMIF('District Allocation'!$A$2:$A$508,A236,'District Allocation'!$K$2:$K$508)</x:f>
        <x:v>18</x:v>
      </x:c>
      <x:c r="F236" s="23" t="n">
        <x:f>E236-D236</x:f>
        <x:v>0</x:v>
      </x:c>
      <x:c r="G236" t="str">
        <x:f>IF(ABS(F236)&lt;0.000001,"OK","CHECK")</x:f>
        <x:v>OK</x:v>
      </x:c>
    </x:row>
    <x:row r="237">
      <x:c r="A237" t="n">
        <x:v>237</x:v>
      </x:c>
      <x:c r="B237" t="str">
        <x:f>'PlantInfo'!A237</x:f>
        <x:v>Bio Power</x:v>
      </x:c>
      <x:c r="C237" s="22" t="str">
        <x:f>'PlantInfo'!C237</x:f>
        <x:v>ETA Power Gen.Pvt.Ltd. Tamil Nadu Virudhunagar 10</x:v>
      </x:c>
      <x:c r="D237" s="23" t="n">
        <x:f>'PlantInfo'!G237</x:f>
        <x:v>10</x:v>
      </x:c>
      <x:c r="E237" s="23" t="n">
        <x:f>SUMIF('District Allocation'!$A$2:$A$508,A237,'District Allocation'!$K$2:$K$508)</x:f>
        <x:v>10</x:v>
      </x:c>
      <x:c r="F237" s="23" t="n">
        <x:f>E237-D237</x:f>
        <x:v>0</x:v>
      </x:c>
      <x:c r="G237" t="str">
        <x:f>IF(ABS(F237)&lt;0.000001,"OK","CHECK")</x:f>
        <x:v>OK</x:v>
      </x:c>
    </x:row>
    <x:row r="238">
      <x:c r="A238" t="n">
        <x:v>238</x:v>
      </x:c>
      <x:c r="B238" t="str">
        <x:f>'PlantInfo'!A238</x:f>
        <x:v>Bio Power</x:v>
      </x:c>
      <x:c r="C238" s="22" t="str">
        <x:f>'PlantInfo'!C238</x:f>
        <x:v>Empee Distilleries (Pvt) Ltd. Tamil Nadu Pudukkottai 10</x:v>
      </x:c>
      <x:c r="D238" s="23" t="n">
        <x:f>'PlantInfo'!G238</x:f>
        <x:v>10</x:v>
      </x:c>
      <x:c r="E238" s="23" t="n">
        <x:f>SUMIF('District Allocation'!$A$2:$A$508,A238,'District Allocation'!$K$2:$K$508)</x:f>
        <x:v>10</x:v>
      </x:c>
      <x:c r="F238" s="23" t="n">
        <x:f>E238-D238</x:f>
        <x:v>0</x:v>
      </x:c>
      <x:c r="G238" t="str">
        <x:f>IF(ABS(F238)&lt;0.000001,"OK","CHECK")</x:f>
        <x:v>OK</x:v>
      </x:c>
    </x:row>
    <x:row r="239">
      <x:c r="A239" t="n">
        <x:v>239</x:v>
      </x:c>
      <x:c r="B239" t="str">
        <x:f>'PlantInfo'!A239</x:f>
        <x:v>Bio Power</x:v>
      </x:c>
      <x:c r="C239" s="22" t="str">
        <x:f>'PlantInfo'!C239</x:f>
        <x:v>Empee Sugars &amp; Chemicals Ltd. Tamil Nadu Tirunelveli 50</x:v>
      </x:c>
      <x:c r="D239" s="23" t="n">
        <x:f>'PlantInfo'!G239</x:f>
        <x:v>50</x:v>
      </x:c>
      <x:c r="E239" s="23" t="n">
        <x:f>SUMIF('District Allocation'!$A$2:$A$508,A239,'District Allocation'!$K$2:$K$508)</x:f>
        <x:v>50</x:v>
      </x:c>
      <x:c r="F239" s="23" t="n">
        <x:f>E239-D239</x:f>
        <x:v>0</x:v>
      </x:c>
      <x:c r="G239" t="str">
        <x:f>IF(ABS(F239)&lt;0.000001,"OK","CHECK")</x:f>
        <x:v>OK</x:v>
      </x:c>
    </x:row>
    <x:row r="240">
      <x:c r="A240" t="n">
        <x:v>240</x:v>
      </x:c>
      <x:c r="B240" t="str">
        <x:f>'PlantInfo'!A240</x:f>
        <x:v>Bio Power</x:v>
      </x:c>
      <x:c r="C240" s="22" t="str">
        <x:f>'PlantInfo'!C240</x:f>
        <x:v>G.K. Bio Energy Pvt. Ltd. Tamil Nadu Erode 1.5</x:v>
      </x:c>
      <x:c r="D240" s="23" t="n">
        <x:f>'PlantInfo'!G240</x:f>
        <x:v>1.5</x:v>
      </x:c>
      <x:c r="E240" s="23" t="n">
        <x:f>SUMIF('District Allocation'!$A$2:$A$508,A240,'District Allocation'!$K$2:$K$508)</x:f>
        <x:v>1.5</x:v>
      </x:c>
      <x:c r="F240" s="23" t="n">
        <x:f>E240-D240</x:f>
        <x:v>0</x:v>
      </x:c>
      <x:c r="G240" t="str">
        <x:f>IF(ABS(F240)&lt;0.000001,"OK","CHECK")</x:f>
        <x:v>OK</x:v>
      </x:c>
    </x:row>
    <x:row r="241">
      <x:c r="A241" t="n">
        <x:v>241</x:v>
      </x:c>
      <x:c r="B241" t="str">
        <x:f>'PlantInfo'!A241</x:f>
        <x:v>Bio Power</x:v>
      </x:c>
      <x:c r="C241" s="22" t="str">
        <x:f>'PlantInfo'!C241</x:f>
        <x:v>Global Power Tech. Equipments Pvt.Ltd. Tamil Nadu Tiruvannamalai 7.5</x:v>
      </x:c>
      <x:c r="D241" s="23" t="n">
        <x:f>'PlantInfo'!G241</x:f>
        <x:v>7.5</x:v>
      </x:c>
      <x:c r="E241" s="23" t="n">
        <x:f>SUMIF('District Allocation'!$A$2:$A$508,A241,'District Allocation'!$K$2:$K$508)</x:f>
        <x:v>7.5</x:v>
      </x:c>
      <x:c r="F241" s="23" t="n">
        <x:f>E241-D241</x:f>
        <x:v>0</x:v>
      </x:c>
      <x:c r="G241" t="str">
        <x:f>IF(ABS(F241)&lt;0.000001,"OK","CHECK")</x:f>
        <x:v>OK</x:v>
      </x:c>
    </x:row>
    <x:row r="242">
      <x:c r="A242" t="n">
        <x:v>242</x:v>
      </x:c>
      <x:c r="B242" t="str">
        <x:f>'PlantInfo'!A242</x:f>
        <x:v>Bio Power</x:v>
      </x:c>
      <x:c r="C242" s="22" t="str">
        <x:f>'PlantInfo'!C242</x:f>
        <x:v>IOT Mabagas Ltd. Tamil Nadu N.A. 2</x:v>
      </x:c>
      <x:c r="D242" s="23" t="n">
        <x:f>'PlantInfo'!G242</x:f>
        <x:v>2</x:v>
      </x:c>
      <x:c r="E242" s="23" t="n">
        <x:f>SUMIF('District Allocation'!$A$2:$A$508,A242,'District Allocation'!$K$2:$K$508)</x:f>
        <x:v>2</x:v>
      </x:c>
      <x:c r="F242" s="23" t="n">
        <x:f>E242-D242</x:f>
        <x:v>0</x:v>
      </x:c>
      <x:c r="G242" t="str">
        <x:f>IF(ABS(F242)&lt;0.000001,"OK","CHECK")</x:f>
        <x:v>OK</x:v>
      </x:c>
    </x:row>
    <x:row r="243">
      <x:c r="A243" t="n">
        <x:v>243</x:v>
      </x:c>
      <x:c r="B243" t="str">
        <x:f>'PlantInfo'!A243</x:f>
        <x:v>Bio Power</x:v>
      </x:c>
      <x:c r="C243" s="22" t="str">
        <x:f>'PlantInfo'!C243</x:f>
        <x:v>Kothari Sugars &amp; Chemicals Ltd. Tamil Nadu Perambalur 12</x:v>
      </x:c>
      <x:c r="D243" s="23" t="n">
        <x:f>'PlantInfo'!G243</x:f>
        <x:v>12</x:v>
      </x:c>
      <x:c r="E243" s="23" t="n">
        <x:f>SUMIF('District Allocation'!$A$2:$A$508,A243,'District Allocation'!$K$2:$K$508)</x:f>
        <x:v>12</x:v>
      </x:c>
      <x:c r="F243" s="23" t="n">
        <x:f>E243-D243</x:f>
        <x:v>0</x:v>
      </x:c>
      <x:c r="G243" t="str">
        <x:f>IF(ABS(F243)&lt;0.000001,"OK","CHECK")</x:f>
        <x:v>OK</x:v>
      </x:c>
    </x:row>
    <x:row r="244">
      <x:c r="A244" t="n">
        <x:v>244</x:v>
      </x:c>
      <x:c r="B244" t="str">
        <x:f>'PlantInfo'!A244</x:f>
        <x:v>Bio Power</x:v>
      </x:c>
      <x:c r="C244" s="22" t="str">
        <x:f>'PlantInfo'!C244</x:f>
        <x:v>Kothari Sugars &amp; Chemicals Ltd. Tamil Nadu Perambalur 22</x:v>
      </x:c>
      <x:c r="D244" s="23" t="n">
        <x:f>'PlantInfo'!G244</x:f>
        <x:v>22</x:v>
      </x:c>
      <x:c r="E244" s="23" t="n">
        <x:f>SUMIF('District Allocation'!$A$2:$A$508,A244,'District Allocation'!$K$2:$K$508)</x:f>
        <x:v>22</x:v>
      </x:c>
      <x:c r="F244" s="23" t="n">
        <x:f>E244-D244</x:f>
        <x:v>0</x:v>
      </x:c>
      <x:c r="G244" t="str">
        <x:f>IF(ABS(F244)&lt;0.000001,"OK","CHECK")</x:f>
        <x:v>OK</x:v>
      </x:c>
    </x:row>
    <x:row r="245">
      <x:c r="A245" t="n">
        <x:v>245</x:v>
      </x:c>
      <x:c r="B245" t="str">
        <x:f>'PlantInfo'!A245</x:f>
        <x:v>Bio Power</x:v>
      </x:c>
      <x:c r="C245" s="22" t="str">
        <x:f>'PlantInfo'!C245</x:f>
        <x:v>M.R.K.Co.op Sugar Mills Tamil Nadu Cuddalore 7.5</x:v>
      </x:c>
      <x:c r="D245" s="23" t="n">
        <x:f>'PlantInfo'!G245</x:f>
        <x:v>7.5</x:v>
      </x:c>
      <x:c r="E245" s="23" t="n">
        <x:f>SUMIF('District Allocation'!$A$2:$A$508,A245,'District Allocation'!$K$2:$K$508)</x:f>
        <x:v>7.5</x:v>
      </x:c>
      <x:c r="F245" s="23" t="n">
        <x:f>E245-D245</x:f>
        <x:v>0</x:v>
      </x:c>
      <x:c r="G245" t="str">
        <x:f>IF(ABS(F245)&lt;0.000001,"OK","CHECK")</x:f>
        <x:v>OK</x:v>
      </x:c>
    </x:row>
    <x:row r="246">
      <x:c r="A246" t="n">
        <x:v>246</x:v>
      </x:c>
      <x:c r="B246" t="str">
        <x:f>'PlantInfo'!A246</x:f>
        <x:v>Bio Power</x:v>
      </x:c>
      <x:c r="C246" s="22" t="str">
        <x:f>'PlantInfo'!C246</x:f>
        <x:v>Madras Sugars &amp; Chemicals Ltd. Tamil Nadu Tirunelveli 25</x:v>
      </x:c>
      <x:c r="D246" s="23" t="n">
        <x:f>'PlantInfo'!G246</x:f>
        <x:v>25</x:v>
      </x:c>
      <x:c r="E246" s="23" t="n">
        <x:f>SUMIF('District Allocation'!$A$2:$A$508,A246,'District Allocation'!$K$2:$K$508)</x:f>
        <x:v>25</x:v>
      </x:c>
      <x:c r="F246" s="23" t="n">
        <x:f>E246-D246</x:f>
        <x:v>0</x:v>
      </x:c>
      <x:c r="G246" t="str">
        <x:f>IF(ABS(F246)&lt;0.000001,"OK","CHECK")</x:f>
        <x:v>OK</x:v>
      </x:c>
    </x:row>
    <x:row r="247">
      <x:c r="A247" t="n">
        <x:v>247</x:v>
      </x:c>
      <x:c r="B247" t="str">
        <x:f>'PlantInfo'!A247</x:f>
        <x:v>Bio Power</x:v>
      </x:c>
      <x:c r="C247" s="22" t="str">
        <x:f>'PlantInfo'!C247</x:f>
        <x:v>Manali Petrochemicals Ltd. Tamil Nadu Thiruvallur 4.7</x:v>
      </x:c>
      <x:c r="D247" s="23" t="n">
        <x:f>'PlantInfo'!G247</x:f>
        <x:v>4.7</x:v>
      </x:c>
      <x:c r="E247" s="23" t="n">
        <x:f>SUMIF('District Allocation'!$A$2:$A$508,A247,'District Allocation'!$K$2:$K$508)</x:f>
        <x:v>4.7</x:v>
      </x:c>
      <x:c r="F247" s="23" t="n">
        <x:f>E247-D247</x:f>
        <x:v>0</x:v>
      </x:c>
      <x:c r="G247" t="str">
        <x:f>IF(ABS(F247)&lt;0.000001,"OK","CHECK")</x:f>
        <x:v>OK</x:v>
      </x:c>
    </x:row>
    <x:row r="248">
      <x:c r="A248" t="n">
        <x:v>248</x:v>
      </x:c>
      <x:c r="B248" t="str">
        <x:f>'PlantInfo'!A248</x:f>
        <x:v>Bio Power</x:v>
      </x:c>
      <x:c r="C248" s="22" t="str">
        <x:f>'PlantInfo'!C248</x:f>
        <x:v>Mohan Breweries &amp; Distillaries Ltd Tamil Nadu Kancheepuram 18</x:v>
      </x:c>
      <x:c r="D248" s="23" t="n">
        <x:f>'PlantInfo'!G248</x:f>
        <x:v>18</x:v>
      </x:c>
      <x:c r="E248" s="23" t="n">
        <x:f>SUMIF('District Allocation'!$A$2:$A$508,A248,'District Allocation'!$K$2:$K$508)</x:f>
        <x:v>18</x:v>
      </x:c>
      <x:c r="F248" s="23" t="n">
        <x:f>E248-D248</x:f>
        <x:v>0</x:v>
      </x:c>
      <x:c r="G248" t="str">
        <x:f>IF(ABS(F248)&lt;0.000001,"OK","CHECK")</x:f>
        <x:v>OK</x:v>
      </x:c>
    </x:row>
    <x:row r="249">
      <x:c r="A249" t="n">
        <x:v>249</x:v>
      </x:c>
      <x:c r="B249" t="str">
        <x:f>'PlantInfo'!A249</x:f>
        <x:v>Bio Power</x:v>
      </x:c>
      <x:c r="C249" s="22" t="str">
        <x:f>'PlantInfo'!C249</x:f>
        <x:v>Orient Green Power Ltd. Tamil Nadu Coimbatore 10</x:v>
      </x:c>
      <x:c r="D249" s="23" t="n">
        <x:f>'PlantInfo'!G249</x:f>
        <x:v>10</x:v>
      </x:c>
      <x:c r="E249" s="23" t="n">
        <x:f>SUMIF('District Allocation'!$A$2:$A$508,A249,'District Allocation'!$K$2:$K$508)</x:f>
        <x:v>10</x:v>
      </x:c>
      <x:c r="F249" s="23" t="n">
        <x:f>E249-D249</x:f>
        <x:v>0</x:v>
      </x:c>
      <x:c r="G249" t="str">
        <x:f>IF(ABS(F249)&lt;0.000001,"OK","CHECK")</x:f>
        <x:v>OK</x:v>
      </x:c>
    </x:row>
    <x:row r="250">
      <x:c r="A250" t="n">
        <x:v>250</x:v>
      </x:c>
      <x:c r="B250" t="str">
        <x:f>'PlantInfo'!A250</x:f>
        <x:v>Bio Power</x:v>
      </x:c>
      <x:c r="C250" s="22" t="str">
        <x:f>'PlantInfo'!C250</x:f>
        <x:v>Others (districts not specified) (Waste to Energy) Tamil Nadu N.A. 6.4</x:v>
      </x:c>
      <x:c r="D250" s="23" t="n">
        <x:f>'PlantInfo'!G250</x:f>
        <x:v>6.4</x:v>
      </x:c>
      <x:c r="E250" s="23" t="n">
        <x:f>SUMIF('District Allocation'!$A$2:$A$508,A250,'District Allocation'!$K$2:$K$508)</x:f>
        <x:v>6.4</x:v>
      </x:c>
      <x:c r="F250" s="23" t="n">
        <x:f>E250-D250</x:f>
        <x:v>0</x:v>
      </x:c>
      <x:c r="G250" t="str">
        <x:f>IF(ABS(F250)&lt;0.000001,"OK","CHECK")</x:f>
        <x:v>OK</x:v>
      </x:c>
    </x:row>
    <x:row r="251">
      <x:c r="A251" t="n">
        <x:v>251</x:v>
      </x:c>
      <x:c r="B251" t="str">
        <x:f>'PlantInfo'!A251</x:f>
        <x:v>Bio Power</x:v>
      </x:c>
      <x:c r="C251" s="22" t="str">
        <x:f>'PlantInfo'!C251</x:f>
        <x:v>Others (districts not specified) [Biomass &amp; bagasse based cogen.] Tamil Nadu N.A. 138.2</x:v>
      </x:c>
      <x:c r="D251" s="23" t="n">
        <x:f>'PlantInfo'!G251</x:f>
        <x:v>138.2</x:v>
      </x:c>
      <x:c r="E251" s="23" t="n">
        <x:f>SUMIF('District Allocation'!$A$2:$A$508,A251,'District Allocation'!$K$2:$K$508)</x:f>
        <x:v>138.19999999999996</x:v>
      </x:c>
      <x:c r="F251" s="23" t="n">
        <x:f>E251-D251</x:f>
        <x:v>-2.842170943040401e-14</x:v>
      </x:c>
      <x:c r="G251" t="str">
        <x:f>IF(ABS(F251)&lt;0.000001,"OK","CHECK")</x:f>
        <x:v>OK</x:v>
      </x:c>
    </x:row>
    <x:row r="252">
      <x:c r="A252" t="n">
        <x:v>252</x:v>
      </x:c>
      <x:c r="B252" t="str">
        <x:f>'PlantInfo'!A252</x:f>
        <x:v>Bio Power</x:v>
      </x:c>
      <x:c r="C252" s="22" t="str">
        <x:f>'PlantInfo'!C252</x:f>
        <x:v>Others (districts not specified) [Non-Bagasse based cogen.] Tamil Nadu N.A. 525</x:v>
      </x:c>
      <x:c r="D252" s="23" t="n">
        <x:f>'PlantInfo'!G252</x:f>
        <x:v>52.05</x:v>
      </x:c>
      <x:c r="E252" s="23" t="n">
        <x:f>SUMIF('District Allocation'!$A$2:$A$508,A252,'District Allocation'!$K$2:$K$508)</x:f>
        <x:v>52.05</x:v>
      </x:c>
      <x:c r="F252" s="23" t="n">
        <x:f>E252-D252</x:f>
        <x:v>0</x:v>
      </x:c>
      <x:c r="G252" t="str">
        <x:f>IF(ABS(F252)&lt;0.000001,"OK","CHECK")</x:f>
        <x:v>OK</x:v>
      </x:c>
    </x:row>
    <x:row r="253">
      <x:c r="A253" t="n">
        <x:v>253</x:v>
      </x:c>
      <x:c r="B253" t="str">
        <x:f>'PlantInfo'!A253</x:f>
        <x:v>Bio Power</x:v>
      </x:c>
      <x:c r="C253" s="22" t="str">
        <x:f>'PlantInfo'!C253</x:f>
        <x:v>Others (districts not specified) [Waste to Energy (Off-grid)] Tamil Nadu N.A. 27.57</x:v>
      </x:c>
      <x:c r="D253" s="23" t="n">
        <x:f>'PlantInfo'!G253</x:f>
        <x:v>27.57</x:v>
      </x:c>
      <x:c r="E253" s="23" t="n">
        <x:f>SUMIF('District Allocation'!$A$2:$A$508,A253,'District Allocation'!$K$2:$K$508)</x:f>
        <x:v>27.57</x:v>
      </x:c>
      <x:c r="F253" s="23" t="n">
        <x:f>E253-D253</x:f>
        <x:v>0</x:v>
      </x:c>
      <x:c r="G253" t="str">
        <x:f>IF(ABS(F253)&lt;0.000001,"OK","CHECK")</x:f>
        <x:v>OK</x:v>
      </x:c>
    </x:row>
    <x:row r="254">
      <x:c r="A254" t="n">
        <x:v>254</x:v>
      </x:c>
      <x:c r="B254" t="str">
        <x:f>'PlantInfo'!A254</x:f>
        <x:v>Bio Power</x:v>
      </x:c>
      <x:c r="C254" s="22" t="str">
        <x:f>'PlantInfo'!C254</x:f>
        <x:v>Ponni Sugars Limited Tamil Nadu Erode 19</x:v>
      </x:c>
      <x:c r="D254" s="23" t="n">
        <x:f>'PlantInfo'!G254</x:f>
        <x:v>19</x:v>
      </x:c>
      <x:c r="E254" s="23" t="n">
        <x:f>SUMIF('District Allocation'!$A$2:$A$508,A254,'District Allocation'!$K$2:$K$508)</x:f>
        <x:v>19</x:v>
      </x:c>
      <x:c r="F254" s="23" t="n">
        <x:f>E254-D254</x:f>
        <x:v>0</x:v>
      </x:c>
      <x:c r="G254" t="str">
        <x:f>IF(ABS(F254)&lt;0.000001,"OK","CHECK")</x:f>
        <x:v>OK</x:v>
      </x:c>
    </x:row>
    <x:row r="255">
      <x:c r="A255" t="n">
        <x:v>255</x:v>
      </x:c>
      <x:c r="B255" t="str">
        <x:f>'PlantInfo'!A255</x:f>
        <x:v>Bio Power</x:v>
      </x:c>
      <x:c r="C255" s="22" t="str">
        <x:f>'PlantInfo'!C255</x:f>
        <x:v>Prathyusha Power Pvt. Ltd. Tamil Nadu Tirunelveli 10</x:v>
      </x:c>
      <x:c r="D255" s="23" t="n">
        <x:f>'PlantInfo'!G255</x:f>
        <x:v>10</x:v>
      </x:c>
      <x:c r="E255" s="23" t="n">
        <x:f>SUMIF('District Allocation'!$A$2:$A$508,A255,'District Allocation'!$K$2:$K$508)</x:f>
        <x:v>10</x:v>
      </x:c>
      <x:c r="F255" s="23" t="n">
        <x:f>E255-D255</x:f>
        <x:v>0</x:v>
      </x:c>
      <x:c r="G255" t="str">
        <x:f>IF(ABS(F255)&lt;0.000001,"OK","CHECK")</x:f>
        <x:v>OK</x:v>
      </x:c>
    </x:row>
    <x:row r="256">
      <x:c r="A256" t="n">
        <x:v>256</x:v>
      </x:c>
      <x:c r="B256" t="str">
        <x:f>'PlantInfo'!A256</x:f>
        <x:v>Bio Power</x:v>
      </x:c>
      <x:c r="C256" s="22" t="str">
        <x:f>'PlantInfo'!C256</x:f>
        <x:v>Rajashree Sugars &amp; Chemicals Ltd. Tamil Nadu Theni 12</x:v>
      </x:c>
      <x:c r="D256" s="23" t="n">
        <x:f>'PlantInfo'!G256</x:f>
        <x:v>12</x:v>
      </x:c>
      <x:c r="E256" s="23" t="n">
        <x:f>SUMIF('District Allocation'!$A$2:$A$508,A256,'District Allocation'!$K$2:$K$508)</x:f>
        <x:v>12</x:v>
      </x:c>
      <x:c r="F256" s="23" t="n">
        <x:f>E256-D256</x:f>
        <x:v>0</x:v>
      </x:c>
      <x:c r="G256" t="str">
        <x:f>IF(ABS(F256)&lt;0.000001,"OK","CHECK")</x:f>
        <x:v>OK</x:v>
      </x:c>
    </x:row>
    <x:row r="257">
      <x:c r="A257" t="n">
        <x:v>257</x:v>
      </x:c>
      <x:c r="B257" t="str">
        <x:f>'PlantInfo'!A257</x:f>
        <x:v>Bio Power</x:v>
      </x:c>
      <x:c r="C257" s="22" t="str">
        <x:f>'PlantInfo'!C257</x:f>
        <x:v>Rajashree Sugars &amp; Chemicals Ltd. Tamil Nadu Viluppuram 20</x:v>
      </x:c>
      <x:c r="D257" s="23" t="n">
        <x:f>'PlantInfo'!G257</x:f>
        <x:v>20</x:v>
      </x:c>
      <x:c r="E257" s="23" t="n">
        <x:f>SUMIF('District Allocation'!$A$2:$A$508,A257,'District Allocation'!$K$2:$K$508)</x:f>
        <x:v>20</x:v>
      </x:c>
      <x:c r="F257" s="23" t="n">
        <x:f>E257-D257</x:f>
        <x:v>0</x:v>
      </x:c>
      <x:c r="G257" t="str">
        <x:f>IF(ABS(F257)&lt;0.000001,"OK","CHECK")</x:f>
        <x:v>OK</x:v>
      </x:c>
    </x:row>
    <x:row r="258">
      <x:c r="A258" t="n">
        <x:v>258</x:v>
      </x:c>
      <x:c r="B258" t="str">
        <x:f>'PlantInfo'!A258</x:f>
        <x:v>Bio Power</x:v>
      </x:c>
      <x:c r="C258" s="22" t="str">
        <x:f>'PlantInfo'!C258</x:f>
        <x:v>Rajashree Sugars &amp; Chemicals Ltd. Tamil Nadu Viluppuram 22</x:v>
      </x:c>
      <x:c r="D258" s="23" t="n">
        <x:f>'PlantInfo'!G258</x:f>
        <x:v>22</x:v>
      </x:c>
      <x:c r="E258" s="23" t="n">
        <x:f>SUMIF('District Allocation'!$A$2:$A$508,A258,'District Allocation'!$K$2:$K$508)</x:f>
        <x:v>22</x:v>
      </x:c>
      <x:c r="F258" s="23" t="n">
        <x:f>E258-D258</x:f>
        <x:v>0</x:v>
      </x:c>
      <x:c r="G258" t="str">
        <x:f>IF(ABS(F258)&lt;0.000001,"OK","CHECK")</x:f>
        <x:v>OK</x:v>
      </x:c>
    </x:row>
    <x:row r="259">
      <x:c r="A259" t="n">
        <x:v>259</x:v>
      </x:c>
      <x:c r="B259" t="str">
        <x:f>'PlantInfo'!A259</x:f>
        <x:v>Bio Power</x:v>
      </x:c>
      <x:c r="C259" s="22" t="str">
        <x:f>'PlantInfo'!C259</x:f>
        <x:v>Rajkumar Impex(P) Ltd. Tamil Nadu Thoothukkudi 6</x:v>
      </x:c>
      <x:c r="D259" s="23" t="n">
        <x:f>'PlantInfo'!G259</x:f>
        <x:v>6</x:v>
      </x:c>
      <x:c r="E259" s="23" t="n">
        <x:f>SUMIF('District Allocation'!$A$2:$A$508,A259,'District Allocation'!$K$2:$K$508)</x:f>
        <x:v>6</x:v>
      </x:c>
      <x:c r="F259" s="23" t="n">
        <x:f>E259-D259</x:f>
        <x:v>0</x:v>
      </x:c>
      <x:c r="G259" t="str">
        <x:f>IF(ABS(F259)&lt;0.000001,"OK","CHECK")</x:f>
        <x:v>OK</x:v>
      </x:c>
    </x:row>
    <x:row r="260">
      <x:c r="A260" t="n">
        <x:v>260</x:v>
      </x:c>
      <x:c r="B260" t="str">
        <x:f>'PlantInfo'!A260</x:f>
        <x:v>Bio Power</x:v>
      </x:c>
      <x:c r="C260" s="22" t="str">
        <x:f>'PlantInfo'!C260</x:f>
        <x:v>Renuka Textiles Limited Tamil Nadu Theni 4.5</x:v>
      </x:c>
      <x:c r="D260" s="23" t="n">
        <x:f>'PlantInfo'!G260</x:f>
        <x:v>4.5</x:v>
      </x:c>
      <x:c r="E260" s="23" t="n">
        <x:f>SUMIF('District Allocation'!$A$2:$A$508,A260,'District Allocation'!$K$2:$K$508)</x:f>
        <x:v>4.5</x:v>
      </x:c>
      <x:c r="F260" s="23" t="n">
        <x:f>E260-D260</x:f>
        <x:v>0</x:v>
      </x:c>
      <x:c r="G260" t="str">
        <x:f>IF(ABS(F260)&lt;0.000001,"OK","CHECK")</x:f>
        <x:v>OK</x:v>
      </x:c>
    </x:row>
    <x:row r="261">
      <x:c r="A261" t="n">
        <x:v>261</x:v>
      </x:c>
      <x:c r="B261" t="str">
        <x:f>'PlantInfo'!A261</x:f>
        <x:v>Bio Power</x:v>
      </x:c>
      <x:c r="C261" s="22" t="str">
        <x:f>'PlantInfo'!C261</x:f>
        <x:v>S.V Sugar Mills Ltd. Tamil Nadu Kancheepuram 45</x:v>
      </x:c>
      <x:c r="D261" s="23" t="n">
        <x:f>'PlantInfo'!G261</x:f>
        <x:v>45</x:v>
      </x:c>
      <x:c r="E261" s="23" t="n">
        <x:f>SUMIF('District Allocation'!$A$2:$A$508,A261,'District Allocation'!$K$2:$K$508)</x:f>
        <x:v>45</x:v>
      </x:c>
      <x:c r="F261" s="23" t="n">
        <x:f>E261-D261</x:f>
        <x:v>0</x:v>
      </x:c>
      <x:c r="G261" t="str">
        <x:f>IF(ABS(F261)&lt;0.000001,"OK","CHECK")</x:f>
        <x:v>OK</x:v>
      </x:c>
    </x:row>
    <x:row r="262">
      <x:c r="A262" t="n">
        <x:v>262</x:v>
      </x:c>
      <x:c r="B262" t="str">
        <x:f>'PlantInfo'!A262</x:f>
        <x:v>Bio Power</x:v>
      </x:c>
      <x:c r="C262" s="22" t="str">
        <x:f>'PlantInfo'!C262</x:f>
        <x:v>Saastha Energy(P) Ltd Tamil Nadu N.A. 2</x:v>
      </x:c>
      <x:c r="D262" s="23" t="n">
        <x:f>'PlantInfo'!G262</x:f>
        <x:v>2</x:v>
      </x:c>
      <x:c r="E262" s="23" t="n">
        <x:f>SUMIF('District Allocation'!$A$2:$A$508,A262,'District Allocation'!$K$2:$K$508)</x:f>
        <x:v>2</x:v>
      </x:c>
      <x:c r="F262" s="23" t="n">
        <x:f>E262-D262</x:f>
        <x:v>0</x:v>
      </x:c>
      <x:c r="G262" t="str">
        <x:f>IF(ABS(F262)&lt;0.000001,"OK","CHECK")</x:f>
        <x:v>OK</x:v>
      </x:c>
    </x:row>
    <x:row r="263">
      <x:c r="A263" t="n">
        <x:v>263</x:v>
      </x:c>
      <x:c r="B263" t="str">
        <x:f>'PlantInfo'!A263</x:f>
        <x:v>Bio Power</x:v>
      </x:c>
      <x:c r="C263" s="22" t="str">
        <x:f>'PlantInfo'!C263</x:f>
        <x:v>Sakti Sugars Ltd. Tamil Nadu Erode 24.5</x:v>
      </x:c>
      <x:c r="D263" s="23" t="n">
        <x:f>'PlantInfo'!G263</x:f>
        <x:v>24.5</x:v>
      </x:c>
      <x:c r="E263" s="23" t="n">
        <x:f>SUMIF('District Allocation'!$A$2:$A$508,A263,'District Allocation'!$K$2:$K$508)</x:f>
        <x:v>24.5</x:v>
      </x:c>
      <x:c r="F263" s="23" t="n">
        <x:f>E263-D263</x:f>
        <x:v>0</x:v>
      </x:c>
      <x:c r="G263" t="str">
        <x:f>IF(ABS(F263)&lt;0.000001,"OK","CHECK")</x:f>
        <x:v>OK</x:v>
      </x:c>
    </x:row>
    <x:row r="264">
      <x:c r="A264" t="n">
        <x:v>264</x:v>
      </x:c>
      <x:c r="B264" t="str">
        <x:f>'PlantInfo'!A264</x:f>
        <x:v>Bio Power</x:v>
      </x:c>
      <x:c r="C264" s="22" t="str">
        <x:f>'PlantInfo'!C264</x:f>
        <x:v>Sakti Sugars Ltd. Tamil Nadu Sivaganga 35</x:v>
      </x:c>
      <x:c r="D264" s="23" t="n">
        <x:f>'PlantInfo'!G264</x:f>
        <x:v>35</x:v>
      </x:c>
      <x:c r="E264" s="23" t="n">
        <x:f>SUMIF('District Allocation'!$A$2:$A$508,A264,'District Allocation'!$K$2:$K$508)</x:f>
        <x:v>35</x:v>
      </x:c>
      <x:c r="F264" s="23" t="n">
        <x:f>E264-D264</x:f>
        <x:v>0</x:v>
      </x:c>
      <x:c r="G264" t="str">
        <x:f>IF(ABS(F264)&lt;0.000001,"OK","CHECK")</x:f>
        <x:v>OK</x:v>
      </x:c>
    </x:row>
    <x:row r="265">
      <x:c r="A265" t="n">
        <x:v>265</x:v>
      </x:c>
      <x:c r="B265" t="str">
        <x:f>'PlantInfo'!A265</x:f>
        <x:v>Bio Power</x:v>
      </x:c>
      <x:c r="C265" s="22" t="str">
        <x:f>'PlantInfo'!C265</x:f>
        <x:v>Shakti Sugars Ltd. Tamil Nadu Erode 32</x:v>
      </x:c>
      <x:c r="D265" s="23" t="n">
        <x:f>'PlantInfo'!G265</x:f>
        <x:v>32</x:v>
      </x:c>
      <x:c r="E265" s="23" t="n">
        <x:f>SUMIF('District Allocation'!$A$2:$A$508,A265,'District Allocation'!$K$2:$K$508)</x:f>
        <x:v>32</x:v>
      </x:c>
      <x:c r="F265" s="23" t="n">
        <x:f>E265-D265</x:f>
        <x:v>0</x:v>
      </x:c>
      <x:c r="G265" t="str">
        <x:f>IF(ABS(F265)&lt;0.000001,"OK","CHECK")</x:f>
        <x:v>OK</x:v>
      </x:c>
    </x:row>
    <x:row r="266">
      <x:c r="A266" t="n">
        <x:v>266</x:v>
      </x:c>
      <x:c r="B266" t="str">
        <x:f>'PlantInfo'!A266</x:f>
        <x:v>Bio Power</x:v>
      </x:c>
      <x:c r="C266" s="22" t="str">
        <x:f>'PlantInfo'!C266</x:f>
        <x:v>Shriraam City Union Finance Ltd. Tamil Nadu Thanjavur 7.5</x:v>
      </x:c>
      <x:c r="D266" s="23" t="n">
        <x:f>'PlantInfo'!G266</x:f>
        <x:v>7.5</x:v>
      </x:c>
      <x:c r="E266" s="23" t="n">
        <x:f>SUMIF('District Allocation'!$A$2:$A$508,A266,'District Allocation'!$K$2:$K$508)</x:f>
        <x:v>7.5</x:v>
      </x:c>
      <x:c r="F266" s="23" t="n">
        <x:f>E266-D266</x:f>
        <x:v>0</x:v>
      </x:c>
      <x:c r="G266" t="str">
        <x:f>IF(ABS(F266)&lt;0.000001,"OK","CHECK")</x:f>
        <x:v>OK</x:v>
      </x:c>
    </x:row>
    <x:row r="267">
      <x:c r="A267" t="n">
        <x:v>267</x:v>
      </x:c>
      <x:c r="B267" t="str">
        <x:f>'PlantInfo'!A267</x:f>
        <x:v>Bio Power</x:v>
      </x:c>
      <x:c r="C267" s="22" t="str">
        <x:f>'PlantInfo'!C267</x:f>
        <x:v>Shriram Investments Ltd. Tamil Nadu Dindigul 7.5</x:v>
      </x:c>
      <x:c r="D267" s="23" t="n">
        <x:f>'PlantInfo'!G267</x:f>
        <x:v>7.5</x:v>
      </x:c>
      <x:c r="E267" s="23" t="n">
        <x:f>SUMIF('District Allocation'!$A$2:$A$508,A267,'District Allocation'!$K$2:$K$508)</x:f>
        <x:v>7.5</x:v>
      </x:c>
      <x:c r="F267" s="23" t="n">
        <x:f>E267-D267</x:f>
        <x:v>0</x:v>
      </x:c>
      <x:c r="G267" t="str">
        <x:f>IF(ABS(F267)&lt;0.000001,"OK","CHECK")</x:f>
        <x:v>OK</x:v>
      </x:c>
    </x:row>
    <x:row r="268">
      <x:c r="A268" t="n">
        <x:v>268</x:v>
      </x:c>
      <x:c r="B268" t="str">
        <x:f>'PlantInfo'!A268</x:f>
        <x:v>Bio Power</x:v>
      </x:c>
      <x:c r="C268" s="22" t="str">
        <x:f>'PlantInfo'!C268</x:f>
        <x:v>Sripathi Paper &amp; Board
(P) Ltd Tamil Nadu Virudhunagar 4.95 09.03.2011</x:v>
      </x:c>
      <x:c r="D268" s="23" t="n">
        <x:f>'PlantInfo'!G268</x:f>
        <x:v>4.95</x:v>
      </x:c>
      <x:c r="E268" s="23" t="n">
        <x:f>SUMIF('District Allocation'!$A$2:$A$508,A268,'District Allocation'!$K$2:$K$508)</x:f>
        <x:v>4.95</x:v>
      </x:c>
      <x:c r="F268" s="23" t="n">
        <x:f>E268-D268</x:f>
        <x:v>0</x:v>
      </x:c>
      <x:c r="G268" t="str">
        <x:f>IF(ABS(F268)&lt;0.000001,"OK","CHECK")</x:f>
        <x:v>OK</x:v>
      </x:c>
    </x:row>
    <x:row r="269">
      <x:c r="A269" t="n">
        <x:v>269</x:v>
      </x:c>
      <x:c r="B269" t="str">
        <x:f>'PlantInfo'!A269</x:f>
        <x:v>Bio Power</x:v>
      </x:c>
      <x:c r="C269" s="22" t="str">
        <x:f>'PlantInfo'!C269</x:f>
        <x:v>Subashri Bio Energy (P)
Ltd. Tamil Nadu Namakkal 2.5</x:v>
      </x:c>
      <x:c r="D269" s="23" t="n">
        <x:f>'PlantInfo'!G269</x:f>
        <x:v>2.5</x:v>
      </x:c>
      <x:c r="E269" s="23" t="n">
        <x:f>SUMIF('District Allocation'!$A$2:$A$508,A269,'District Allocation'!$K$2:$K$508)</x:f>
        <x:v>2.5</x:v>
      </x:c>
      <x:c r="F269" s="23" t="n">
        <x:f>E269-D269</x:f>
        <x:v>0</x:v>
      </x:c>
      <x:c r="G269" t="str">
        <x:f>IF(ABS(F269)&lt;0.000001,"OK","CHECK")</x:f>
        <x:v>OK</x:v>
      </x:c>
    </x:row>
    <x:row r="270">
      <x:c r="A270" t="n">
        <x:v>270</x:v>
      </x:c>
      <x:c r="B270" t="str">
        <x:f>'PlantInfo'!A270</x:f>
        <x:v>Bio Power</x:v>
      </x:c>
      <x:c r="C270" s="22" t="str">
        <x:f>'PlantInfo'!C270</x:f>
        <x:v>Subramania Siva Co-op Sugar Mills Tamil Nadu Dharmapuri 5</x:v>
      </x:c>
      <x:c r="D270" s="23" t="n">
        <x:f>'PlantInfo'!G270</x:f>
        <x:v>5</x:v>
      </x:c>
      <x:c r="E270" s="23" t="n">
        <x:f>SUMIF('District Allocation'!$A$2:$A$508,A270,'District Allocation'!$K$2:$K$508)</x:f>
        <x:v>5</x:v>
      </x:c>
      <x:c r="F270" s="23" t="n">
        <x:f>E270-D270</x:f>
        <x:v>0</x:v>
      </x:c>
      <x:c r="G270" t="str">
        <x:f>IF(ABS(F270)&lt;0.000001,"OK","CHECK")</x:f>
        <x:v>OK</x:v>
      </x:c>
    </x:row>
    <x:row r="271">
      <x:c r="A271" t="n">
        <x:v>271</x:v>
      </x:c>
      <x:c r="B271" t="str">
        <x:f>'PlantInfo'!A271</x:f>
        <x:v>Bio Power</x:v>
      </x:c>
      <x:c r="C271" s="22" t="str">
        <x:f>'PlantInfo'!C271</x:f>
        <x:v>Synergy Sakthi
Renewable energy Ltd. Tamil Nadu Dharmapuri 10</x:v>
      </x:c>
      <x:c r="D271" s="23" t="n">
        <x:f>'PlantInfo'!G271</x:f>
        <x:v>10</x:v>
      </x:c>
      <x:c r="E271" s="23" t="n">
        <x:f>SUMIF('District Allocation'!$A$2:$A$508,A271,'District Allocation'!$K$2:$K$508)</x:f>
        <x:v>10</x:v>
      </x:c>
      <x:c r="F271" s="23" t="n">
        <x:f>E271-D271</x:f>
        <x:v>0</x:v>
      </x:c>
      <x:c r="G271" t="str">
        <x:f>IF(ABS(F271)&lt;0.000001,"OK","CHECK")</x:f>
        <x:v>OK</x:v>
      </x:c>
    </x:row>
    <x:row r="272">
      <x:c r="A272" t="n">
        <x:v>272</x:v>
      </x:c>
      <x:c r="B272" t="str">
        <x:f>'PlantInfo'!A272</x:f>
        <x:v>Bio Power</x:v>
      </x:c>
      <x:c r="C272" s="22" t="str">
        <x:f>'PlantInfo'!C272</x:f>
        <x:v>TCP Ltd. Tamil Nadu Sivaganga 9</x:v>
      </x:c>
      <x:c r="D272" s="23" t="n">
        <x:f>'PlantInfo'!G272</x:f>
        <x:v>9</x:v>
      </x:c>
      <x:c r="E272" s="23" t="n">
        <x:f>SUMIF('District Allocation'!$A$2:$A$508,A272,'District Allocation'!$K$2:$K$508)</x:f>
        <x:v>9</x:v>
      </x:c>
      <x:c r="F272" s="23" t="n">
        <x:f>E272-D272</x:f>
        <x:v>0</x:v>
      </x:c>
      <x:c r="G272" t="str">
        <x:f>IF(ABS(F272)&lt;0.000001,"OK","CHECK")</x:f>
        <x:v>OK</x:v>
      </x:c>
    </x:row>
    <x:row r="273">
      <x:c r="A273" t="n">
        <x:v>273</x:v>
      </x:c>
      <x:c r="B273" t="str">
        <x:f>'PlantInfo'!A273</x:f>
        <x:v>Bio Power</x:v>
      </x:c>
      <x:c r="C273" s="22" t="str">
        <x:f>'PlantInfo'!C273</x:f>
        <x:v>Terra Energy Ltd. Tamil Nadu Cuddalore 18.68</x:v>
      </x:c>
      <x:c r="D273" s="23" t="n">
        <x:f>'PlantInfo'!G273</x:f>
        <x:v>18.68</x:v>
      </x:c>
      <x:c r="E273" s="23" t="n">
        <x:f>SUMIF('District Allocation'!$A$2:$A$508,A273,'District Allocation'!$K$2:$K$508)</x:f>
        <x:v>18.68</x:v>
      </x:c>
      <x:c r="F273" s="23" t="n">
        <x:f>E273-D273</x:f>
        <x:v>0</x:v>
      </x:c>
      <x:c r="G273" t="str">
        <x:f>IF(ABS(F273)&lt;0.000001,"OK","CHECK")</x:f>
        <x:v>OK</x:v>
      </x:c>
    </x:row>
    <x:row r="274">
      <x:c r="A274" t="n">
        <x:v>274</x:v>
      </x:c>
      <x:c r="B274" t="str">
        <x:f>'PlantInfo'!A274</x:f>
        <x:v>Bio Power</x:v>
      </x:c>
      <x:c r="C274" s="22" t="str">
        <x:f>'PlantInfo'!C274</x:f>
        <x:v>Terra Energy Ltd. Tamil Nadu Thanjavur 28.42</x:v>
      </x:c>
      <x:c r="D274" s="23" t="n">
        <x:f>'PlantInfo'!G274</x:f>
        <x:v>28.42</x:v>
      </x:c>
      <x:c r="E274" s="23" t="n">
        <x:f>SUMIF('District Allocation'!$A$2:$A$508,A274,'District Allocation'!$K$2:$K$508)</x:f>
        <x:v>28.42</x:v>
      </x:c>
      <x:c r="F274" s="23" t="n">
        <x:f>E274-D274</x:f>
        <x:v>0</x:v>
      </x:c>
      <x:c r="G274" t="str">
        <x:f>IF(ABS(F274)&lt;0.000001,"OK","CHECK")</x:f>
        <x:v>OK</x:v>
      </x:c>
    </x:row>
    <x:row r="275">
      <x:c r="A275" t="n">
        <x:v>275</x:v>
      </x:c>
      <x:c r="B275" t="str">
        <x:f>'PlantInfo'!A275</x:f>
        <x:v>Nuclear</x:v>
      </x:c>
      <x:c r="C275" s="22" t="str">
        <x:f>'PlantInfo'!C275</x:f>
        <x:v>BHAVINI PFBR Atomic Power Station</x:v>
      </x:c>
      <x:c r="D275" s="23" t="n">
        <x:f>'PlantInfo'!G275</x:f>
        <x:v>500</x:v>
      </x:c>
      <x:c r="E275" s="23" t="n">
        <x:f>SUMIF('District Allocation'!$A$2:$A$508,A275,'District Allocation'!$K$2:$K$508)</x:f>
        <x:v>500</x:v>
      </x:c>
      <x:c r="F275" s="23" t="n">
        <x:f>E275-D275</x:f>
        <x:v>0</x:v>
      </x:c>
      <x:c r="G275" t="str">
        <x:f>IF(ABS(F275)&lt;0.000001,"OK","CHECK")</x:f>
        <x:v>OK</x:v>
      </x:c>
    </x:row>
    <x:row r="276">
      <x:c r="A276" t="n">
        <x:v>276</x:v>
      </x:c>
      <x:c r="B276" t="str">
        <x:f>'PlantInfo'!A276</x:f>
        <x:v>Nuclear</x:v>
      </x:c>
      <x:c r="C276" s="22" t="str">
        <x:f>'PlantInfo'!C276</x:f>
        <x:v>Kudankulam Atomic Power Project</x:v>
      </x:c>
      <x:c r="D276" s="23" t="n">
        <x:f>'PlantInfo'!G276</x:f>
        <x:v>1000</x:v>
      </x:c>
      <x:c r="E276" s="23" t="n">
        <x:f>SUMIF('District Allocation'!$A$2:$A$508,A276,'District Allocation'!$K$2:$K$508)</x:f>
        <x:v>1000</x:v>
      </x:c>
      <x:c r="F276" s="23" t="n">
        <x:f>E276-D276</x:f>
        <x:v>0</x:v>
      </x:c>
      <x:c r="G276" t="str">
        <x:f>IF(ABS(F276)&lt;0.000001,"OK","CHECK")</x:f>
        <x:v>OK</x:v>
      </x:c>
    </x:row>
    <x:row r="277">
      <x:c r="A277" t="n">
        <x:v>277</x:v>
      </x:c>
      <x:c r="B277" t="str">
        <x:f>'PlantInfo'!A277</x:f>
        <x:v>Nuclear</x:v>
      </x:c>
      <x:c r="C277" s="22" t="str">
        <x:f>'PlantInfo'!C277</x:f>
        <x:v>Kudankulam Atomic Power Project</x:v>
      </x:c>
      <x:c r="D277" s="23" t="n">
        <x:f>'PlantInfo'!G277</x:f>
        <x:v>1000</x:v>
      </x:c>
      <x:c r="E277" s="23" t="n">
        <x:f>SUMIF('District Allocation'!$A$2:$A$508,A277,'District Allocation'!$K$2:$K$508)</x:f>
        <x:v>1000</x:v>
      </x:c>
      <x:c r="F277" s="23" t="n">
        <x:f>E277-D277</x:f>
        <x:v>0</x:v>
      </x:c>
      <x:c r="G277" t="str">
        <x:f>IF(ABS(F277)&lt;0.000001,"OK","CHECK")</x:f>
        <x:v>OK</x:v>
      </x:c>
    </x:row>
    <x:row r="278">
      <x:c r="A278" t="n">
        <x:v>278</x:v>
      </x:c>
      <x:c r="B278" t="str">
        <x:f>'PlantInfo'!A278</x:f>
        <x:v>Nuclear</x:v>
      </x:c>
      <x:c r="C278" s="22" t="str">
        <x:f>'PlantInfo'!C278</x:f>
        <x:v>Kudankulam Atomic Power Project</x:v>
      </x:c>
      <x:c r="D278" s="23" t="n">
        <x:f>'PlantInfo'!G278</x:f>
        <x:v>1000</x:v>
      </x:c>
      <x:c r="E278" s="23" t="n">
        <x:f>SUMIF('District Allocation'!$A$2:$A$508,A278,'District Allocation'!$K$2:$K$508)</x:f>
        <x:v>1000</x:v>
      </x:c>
      <x:c r="F278" s="23" t="n">
        <x:f>E278-D278</x:f>
        <x:v>0</x:v>
      </x:c>
      <x:c r="G278" t="str">
        <x:f>IF(ABS(F278)&lt;0.000001,"OK","CHECK")</x:f>
        <x:v>OK</x:v>
      </x:c>
    </x:row>
    <x:row r="279">
      <x:c r="A279" t="n">
        <x:v>279</x:v>
      </x:c>
      <x:c r="B279" t="str">
        <x:f>'PlantInfo'!A279</x:f>
        <x:v>Nuclear</x:v>
      </x:c>
      <x:c r="C279" s="22" t="str">
        <x:f>'PlantInfo'!C279</x:f>
        <x:v>Kudankulam Atomic Power Project</x:v>
      </x:c>
      <x:c r="D279" s="23" t="n">
        <x:f>'PlantInfo'!G279</x:f>
        <x:v>1000</x:v>
      </x:c>
      <x:c r="E279" s="23" t="n">
        <x:f>SUMIF('District Allocation'!$A$2:$A$508,A279,'District Allocation'!$K$2:$K$508)</x:f>
        <x:v>1000</x:v>
      </x:c>
      <x:c r="F279" s="23" t="n">
        <x:f>E279-D279</x:f>
        <x:v>0</x:v>
      </x:c>
      <x:c r="G279" t="str">
        <x:f>IF(ABS(F279)&lt;0.000001,"OK","CHECK")</x:f>
        <x:v>OK</x:v>
      </x:c>
    </x:row>
    <x:row r="280">
      <x:c r="A280" t="n">
        <x:v>280</x:v>
      </x:c>
      <x:c r="B280" t="str">
        <x:f>'PlantInfo'!A280</x:f>
        <x:v>Nuclear</x:v>
      </x:c>
      <x:c r="C280" s="22" t="str">
        <x:f>'PlantInfo'!C280</x:f>
        <x:v>Kudankulam Atomic Power Project</x:v>
      </x:c>
      <x:c r="D280" s="23" t="n">
        <x:f>'PlantInfo'!G280</x:f>
        <x:v>1000</x:v>
      </x:c>
      <x:c r="E280" s="23" t="n">
        <x:f>SUMIF('District Allocation'!$A$2:$A$508,A280,'District Allocation'!$K$2:$K$508)</x:f>
        <x:v>1000</x:v>
      </x:c>
      <x:c r="F280" s="23" t="n">
        <x:f>E280-D280</x:f>
        <x:v>0</x:v>
      </x:c>
      <x:c r="G280" t="str">
        <x:f>IF(ABS(F280)&lt;0.000001,"OK","CHECK")</x:f>
        <x:v>OK</x:v>
      </x:c>
    </x:row>
    <x:row r="281">
      <x:c r="A281" t="n">
        <x:v>281</x:v>
      </x:c>
      <x:c r="B281" t="str">
        <x:f>'PlantInfo'!A281</x:f>
        <x:v>Nuclear</x:v>
      </x:c>
      <x:c r="C281" s="22" t="str">
        <x:f>'PlantInfo'!C281</x:f>
        <x:v>Kudankulam Atomic Power Project</x:v>
      </x:c>
      <x:c r="D281" s="23" t="n">
        <x:f>'PlantInfo'!G281</x:f>
        <x:v>1000</x:v>
      </x:c>
      <x:c r="E281" s="23" t="n">
        <x:f>SUMIF('District Allocation'!$A$2:$A$508,A281,'District Allocation'!$K$2:$K$508)</x:f>
        <x:v>1000</x:v>
      </x:c>
      <x:c r="F281" s="23" t="n">
        <x:f>E281-D281</x:f>
        <x:v>0</x:v>
      </x:c>
      <x:c r="G281" t="str">
        <x:f>IF(ABS(F281)&lt;0.000001,"OK","CHECK")</x:f>
        <x:v>OK</x:v>
      </x:c>
    </x:row>
    <x:row r="282">
      <x:c r="A282" t="n">
        <x:v>282</x:v>
      </x:c>
      <x:c r="B282" t="str">
        <x:f>'PlantInfo'!A282</x:f>
        <x:v>Nuclear</x:v>
      </x:c>
      <x:c r="C282" s="22" t="str">
        <x:f>'PlantInfo'!C282</x:f>
        <x:v>Madras Atomic Power Station</x:v>
      </x:c>
      <x:c r="D282" s="23" t="n">
        <x:f>'PlantInfo'!G282</x:f>
        <x:v>220</x:v>
      </x:c>
      <x:c r="E282" s="23" t="n">
        <x:f>SUMIF('District Allocation'!$A$2:$A$508,A282,'District Allocation'!$K$2:$K$508)</x:f>
        <x:v>220</x:v>
      </x:c>
      <x:c r="F282" s="23" t="n">
        <x:f>E282-D282</x:f>
        <x:v>0</x:v>
      </x:c>
      <x:c r="G282" t="str">
        <x:f>IF(ABS(F282)&lt;0.000001,"OK","CHECK")</x:f>
        <x:v>OK</x:v>
      </x:c>
    </x:row>
    <x:row r="283">
      <x:c r="A283" t="n">
        <x:v>283</x:v>
      </x:c>
      <x:c r="B283" t="str">
        <x:f>'PlantInfo'!A283</x:f>
        <x:v>Nuclear</x:v>
      </x:c>
      <x:c r="C283" s="22" t="str">
        <x:f>'PlantInfo'!C283</x:f>
        <x:v>Madras Atomic Power Station</x:v>
      </x:c>
      <x:c r="D283" s="23" t="n">
        <x:f>'PlantInfo'!G283</x:f>
        <x:v>220</x:v>
      </x:c>
      <x:c r="E283" s="23" t="n">
        <x:f>SUMIF('District Allocation'!$A$2:$A$508,A283,'District Allocation'!$K$2:$K$508)</x:f>
        <x:v>220</x:v>
      </x:c>
      <x:c r="F283" s="23" t="n">
        <x:f>E283-D283</x:f>
        <x:v>0</x:v>
      </x:c>
      <x:c r="G283" t="str">
        <x:f>IF(ABS(F283)&lt;0.000001,"OK","CHECK")</x:f>
        <x:v>OK</x:v>
      </x:c>
    </x:row>
    <x:row r="284">
      <x:c r="A284" t="n">
        <x:v>284</x:v>
      </x:c>
      <x:c r="B284" t="str">
        <x:f>'PlantInfo'!A284</x:f>
        <x:v>Small-Hydro</x:v>
      </x:c>
      <x:c r="C284" s="22" t="str">
        <x:f>'PlantInfo'!C284</x:f>
        <x:v>Aliyar Mini Hydel Project</x:v>
      </x:c>
      <x:c r="D284" s="23" t="n">
        <x:f>'PlantInfo'!G284</x:f>
        <x:v>1.25</x:v>
      </x:c>
      <x:c r="E284" s="23" t="n">
        <x:f>SUMIF('District Allocation'!$A$2:$A$508,A284,'District Allocation'!$K$2:$K$508)</x:f>
        <x:v>1.25</x:v>
      </x:c>
      <x:c r="F284" s="23" t="n">
        <x:f>E284-D284</x:f>
        <x:v>0</x:v>
      </x:c>
      <x:c r="G284" t="str">
        <x:f>IF(ABS(F284)&lt;0.000001,"OK","CHECK")</x:f>
        <x:v>OK</x:v>
      </x:c>
    </x:row>
    <x:row r="285">
      <x:c r="A285" t="n">
        <x:v>285</x:v>
      </x:c>
      <x:c r="B285" t="str">
        <x:f>'PlantInfo'!A285</x:f>
        <x:v>Small-Hydro</x:v>
      </x:c>
      <x:c r="C285" s="22" t="str">
        <x:f>'PlantInfo'!C285</x:f>
        <x:v>Aliyar Mini Hydel Project</x:v>
      </x:c>
      <x:c r="D285" s="23" t="n">
        <x:f>'PlantInfo'!G285</x:f>
        <x:v>1.25</x:v>
      </x:c>
      <x:c r="E285" s="23" t="n">
        <x:f>SUMIF('District Allocation'!$A$2:$A$508,A285,'District Allocation'!$K$2:$K$508)</x:f>
        <x:v>1.25</x:v>
      </x:c>
      <x:c r="F285" s="23" t="n">
        <x:f>E285-D285</x:f>
        <x:v>0</x:v>
      </x:c>
      <x:c r="G285" t="str">
        <x:f>IF(ABS(F285)&lt;0.000001,"OK","CHECK")</x:f>
        <x:v>OK</x:v>
      </x:c>
    </x:row>
    <x:row r="286">
      <x:c r="A286" t="n">
        <x:v>286</x:v>
      </x:c>
      <x:c r="B286" t="str">
        <x:f>'PlantInfo'!A286</x:f>
        <x:v>Small-Hydro</x:v>
      </x:c>
      <x:c r="C286" s="22" t="str">
        <x:f>'PlantInfo'!C286</x:f>
        <x:v>Amaravathi Small Hydro Project</x:v>
      </x:c>
      <x:c r="D286" s="23" t="n">
        <x:f>'PlantInfo'!G286</x:f>
        <x:v>2</x:v>
      </x:c>
      <x:c r="E286" s="23" t="n">
        <x:f>SUMIF('District Allocation'!$A$2:$A$508,A286,'District Allocation'!$K$2:$K$508)</x:f>
        <x:v>2</x:v>
      </x:c>
      <x:c r="F286" s="23" t="n">
        <x:f>E286-D286</x:f>
        <x:v>0</x:v>
      </x:c>
      <x:c r="G286" t="str">
        <x:f>IF(ABS(F286)&lt;0.000001,"OK","CHECK")</x:f>
        <x:v>OK</x:v>
      </x:c>
    </x:row>
    <x:row r="287">
      <x:c r="A287" t="n">
        <x:v>287</x:v>
      </x:c>
      <x:c r="B287" t="str">
        <x:f>'PlantInfo'!A287</x:f>
        <x:v>Small-Hydro</x:v>
      </x:c>
      <x:c r="C287" s="22" t="str">
        <x:f>'PlantInfo'!C287</x:f>
        <x:v>Amaravathi Small Hydro Project</x:v>
      </x:c>
      <x:c r="D287" s="23" t="n">
        <x:f>'PlantInfo'!G287</x:f>
        <x:v>2</x:v>
      </x:c>
      <x:c r="E287" s="23" t="n">
        <x:f>SUMIF('District Allocation'!$A$2:$A$508,A287,'District Allocation'!$K$2:$K$508)</x:f>
        <x:v>2</x:v>
      </x:c>
      <x:c r="F287" s="23" t="n">
        <x:f>E287-D287</x:f>
        <x:v>0</x:v>
      </x:c>
      <x:c r="G287" t="str">
        <x:f>IF(ABS(F287)&lt;0.000001,"OK","CHECK")</x:f>
        <x:v>OK</x:v>
      </x:c>
    </x:row>
    <x:row r="288">
      <x:c r="A288" t="n">
        <x:v>288</x:v>
      </x:c>
      <x:c r="B288" t="str">
        <x:f>'PlantInfo'!A288</x:f>
        <x:v>Small-Hydro</x:v>
      </x:c>
      <x:c r="C288" s="22" t="str">
        <x:f>'PlantInfo'!C288</x:f>
        <x:v>Bhavani Barrage I Small Hydro Electric Project</x:v>
      </x:c>
      <x:c r="D288" s="23" t="n">
        <x:f>'PlantInfo'!G288</x:f>
        <x:v>5</x:v>
      </x:c>
      <x:c r="E288" s="23" t="n">
        <x:f>SUMIF('District Allocation'!$A$2:$A$508,A288,'District Allocation'!$K$2:$K$508)</x:f>
        <x:v>5</x:v>
      </x:c>
      <x:c r="F288" s="23" t="n">
        <x:f>E288-D288</x:f>
        <x:v>0</x:v>
      </x:c>
      <x:c r="G288" t="str">
        <x:f>IF(ABS(F288)&lt;0.000001,"OK","CHECK")</x:f>
        <x:v>OK</x:v>
      </x:c>
    </x:row>
    <x:row r="289">
      <x:c r="A289" t="n">
        <x:v>289</x:v>
      </x:c>
      <x:c r="B289" t="str">
        <x:f>'PlantInfo'!A289</x:f>
        <x:v>Small-Hydro</x:v>
      </x:c>
      <x:c r="C289" s="22" t="str">
        <x:f>'PlantInfo'!C289</x:f>
        <x:v>Bhavani Barrage I Small Hydro Electric Project</x:v>
      </x:c>
      <x:c r="D289" s="23" t="n">
        <x:f>'PlantInfo'!G289</x:f>
        <x:v>5</x:v>
      </x:c>
      <x:c r="E289" s="23" t="n">
        <x:f>SUMIF('District Allocation'!$A$2:$A$508,A289,'District Allocation'!$K$2:$K$508)</x:f>
        <x:v>5</x:v>
      </x:c>
      <x:c r="F289" s="23" t="n">
        <x:f>E289-D289</x:f>
        <x:v>0</x:v>
      </x:c>
      <x:c r="G289" t="str">
        <x:f>IF(ABS(F289)&lt;0.000001,"OK","CHECK")</x:f>
        <x:v>OK</x:v>
      </x:c>
    </x:row>
    <x:row r="290">
      <x:c r="A290" t="n">
        <x:v>290</x:v>
      </x:c>
      <x:c r="B290" t="str">
        <x:f>'PlantInfo'!A290</x:f>
        <x:v>Small-Hydro</x:v>
      </x:c>
      <x:c r="C290" s="22" t="str">
        <x:f>'PlantInfo'!C290</x:f>
        <x:v>Bhavani Barrage II Small Hydro Electric Project</x:v>
      </x:c>
      <x:c r="D290" s="23" t="n">
        <x:f>'PlantInfo'!G290</x:f>
        <x:v>5</x:v>
      </x:c>
      <x:c r="E290" s="23" t="n">
        <x:f>SUMIF('District Allocation'!$A$2:$A$508,A290,'District Allocation'!$K$2:$K$508)</x:f>
        <x:v>5</x:v>
      </x:c>
      <x:c r="F290" s="23" t="n">
        <x:f>E290-D290</x:f>
        <x:v>0</x:v>
      </x:c>
      <x:c r="G290" t="str">
        <x:f>IF(ABS(F290)&lt;0.000001,"OK","CHECK")</x:f>
        <x:v>OK</x:v>
      </x:c>
    </x:row>
    <x:row r="291">
      <x:c r="A291" t="n">
        <x:v>291</x:v>
      </x:c>
      <x:c r="B291" t="str">
        <x:f>'PlantInfo'!A291</x:f>
        <x:v>Small-Hydro</x:v>
      </x:c>
      <x:c r="C291" s="22" t="str">
        <x:f>'PlantInfo'!C291</x:f>
        <x:v>Bhavani Barrage II Small Hydro Electric Project</x:v>
      </x:c>
      <x:c r="D291" s="23" t="n">
        <x:f>'PlantInfo'!G291</x:f>
        <x:v>5</x:v>
      </x:c>
      <x:c r="E291" s="23" t="n">
        <x:f>SUMIF('District Allocation'!$A$2:$A$508,A291,'District Allocation'!$K$2:$K$508)</x:f>
        <x:v>5</x:v>
      </x:c>
      <x:c r="F291" s="23" t="n">
        <x:f>E291-D291</x:f>
        <x:v>0</x:v>
      </x:c>
      <x:c r="G291" t="str">
        <x:f>IF(ABS(F291)&lt;0.000001,"OK","CHECK")</x:f>
        <x:v>OK</x:v>
      </x:c>
    </x:row>
    <x:row r="292">
      <x:c r="A292" t="n">
        <x:v>292</x:v>
      </x:c>
      <x:c r="B292" t="str">
        <x:f>'PlantInfo'!A292</x:f>
        <x:v>Small-Hydro</x:v>
      </x:c>
      <x:c r="C292" s="22" t="str">
        <x:f>'PlantInfo'!C292</x:f>
        <x:v>Lower Bhavani Micro Hydel Project</x:v>
      </x:c>
      <x:c r="D292" s="23" t="n">
        <x:f>'PlantInfo'!G292</x:f>
        <x:v>2</x:v>
      </x:c>
      <x:c r="E292" s="23" t="n">
        <x:f>SUMIF('District Allocation'!$A$2:$A$508,A292,'District Allocation'!$K$2:$K$508)</x:f>
        <x:v>2</x:v>
      </x:c>
      <x:c r="F292" s="23" t="n">
        <x:f>E292-D292</x:f>
        <x:v>0</x:v>
      </x:c>
      <x:c r="G292" t="str">
        <x:f>IF(ABS(F292)&lt;0.000001,"OK","CHECK")</x:f>
        <x:v>OK</x:v>
      </x:c>
    </x:row>
    <x:row r="293">
      <x:c r="A293" t="n">
        <x:v>293</x:v>
      </x:c>
      <x:c r="B293" t="str">
        <x:f>'PlantInfo'!A293</x:f>
        <x:v>Small-Hydro</x:v>
      </x:c>
      <x:c r="C293" s="22" t="str">
        <x:f>'PlantInfo'!C293</x:f>
        <x:v>Lower Bhavani Micro Hydel Project</x:v>
      </x:c>
      <x:c r="D293" s="23" t="n">
        <x:f>'PlantInfo'!G293</x:f>
        <x:v>2</x:v>
      </x:c>
      <x:c r="E293" s="23" t="n">
        <x:f>SUMIF('District Allocation'!$A$2:$A$508,A293,'District Allocation'!$K$2:$K$508)</x:f>
        <x:v>2</x:v>
      </x:c>
      <x:c r="F293" s="23" t="n">
        <x:f>E293-D293</x:f>
        <x:v>0</x:v>
      </x:c>
      <x:c r="G293" t="str">
        <x:f>IF(ABS(F293)&lt;0.000001,"OK","CHECK")</x:f>
        <x:v>OK</x:v>
      </x:c>
    </x:row>
    <x:row r="294">
      <x:c r="A294" t="n">
        <x:v>294</x:v>
      </x:c>
      <x:c r="B294" t="str">
        <x:f>'PlantInfo'!A294</x:f>
        <x:v>Small-Hydro</x:v>
      </x:c>
      <x:c r="C294" s="22" t="str">
        <x:f>'PlantInfo'!C294</x:f>
        <x:v>Lower Bhavani Micro Hydel Project</x:v>
      </x:c>
      <x:c r="D294" s="23" t="n">
        <x:f>'PlantInfo'!G294</x:f>
        <x:v>2</x:v>
      </x:c>
      <x:c r="E294" s="23" t="n">
        <x:f>SUMIF('District Allocation'!$A$2:$A$508,A294,'District Allocation'!$K$2:$K$508)</x:f>
        <x:v>2</x:v>
      </x:c>
      <x:c r="F294" s="23" t="n">
        <x:f>E294-D294</x:f>
        <x:v>0</x:v>
      </x:c>
      <x:c r="G294" t="str">
        <x:f>IF(ABS(F294)&lt;0.000001,"OK","CHECK")</x:f>
        <x:v>OK</x:v>
      </x:c>
    </x:row>
    <x:row r="295">
      <x:c r="A295" t="n">
        <x:v>295</x:v>
      </x:c>
      <x:c r="B295" t="str">
        <x:f>'PlantInfo'!A295</x:f>
        <x:v>Small-Hydro</x:v>
      </x:c>
      <x:c r="C295" s="22" t="str">
        <x:f>'PlantInfo'!C295</x:f>
        <x:v>Lower Bhavani Micro Hydel Project</x:v>
      </x:c>
      <x:c r="D295" s="23" t="n">
        <x:f>'PlantInfo'!G295</x:f>
        <x:v>2</x:v>
      </x:c>
      <x:c r="E295" s="23" t="n">
        <x:f>SUMIF('District Allocation'!$A$2:$A$508,A295,'District Allocation'!$K$2:$K$508)</x:f>
        <x:v>2</x:v>
      </x:c>
      <x:c r="F295" s="23" t="n">
        <x:f>E295-D295</x:f>
        <x:v>0</x:v>
      </x:c>
      <x:c r="G295" t="str">
        <x:f>IF(ABS(F295)&lt;0.000001,"OK","CHECK")</x:f>
        <x:v>OK</x:v>
      </x:c>
    </x:row>
    <x:row r="296">
      <x:c r="A296" t="n">
        <x:v>296</x:v>
      </x:c>
      <x:c r="B296" t="str">
        <x:f>'PlantInfo'!A296</x:f>
        <x:v>Small-Hydro</x:v>
      </x:c>
      <x:c r="C296" s="22" t="str">
        <x:f>'PlantInfo'!C296</x:f>
        <x:v>Lower Bhavani Right Bank Canal Project</x:v>
      </x:c>
      <x:c r="D296" s="23" t="n">
        <x:f>'PlantInfo'!G296</x:f>
        <x:v>4</x:v>
      </x:c>
      <x:c r="E296" s="23" t="n">
        <x:f>SUMIF('District Allocation'!$A$2:$A$508,A296,'District Allocation'!$K$2:$K$508)</x:f>
        <x:v>4</x:v>
      </x:c>
      <x:c r="F296" s="23" t="n">
        <x:f>E296-D296</x:f>
        <x:v>0</x:v>
      </x:c>
      <x:c r="G296" t="str">
        <x:f>IF(ABS(F296)&lt;0.000001,"OK","CHECK")</x:f>
        <x:v>OK</x:v>
      </x:c>
    </x:row>
    <x:row r="297">
      <x:c r="A297" t="n">
        <x:v>297</x:v>
      </x:c>
      <x:c r="B297" t="str">
        <x:f>'PlantInfo'!A297</x:f>
        <x:v>Small-Hydro</x:v>
      </x:c>
      <x:c r="C297" s="22" t="str">
        <x:f>'PlantInfo'!C297</x:f>
        <x:v>Lower Bhavani Right Bank Canal Project</x:v>
      </x:c>
      <x:c r="D297" s="23" t="n">
        <x:f>'PlantInfo'!G297</x:f>
        <x:v>4</x:v>
      </x:c>
      <x:c r="E297" s="23" t="n">
        <x:f>SUMIF('District Allocation'!$A$2:$A$508,A297,'District Allocation'!$K$2:$K$508)</x:f>
        <x:v>4</x:v>
      </x:c>
      <x:c r="F297" s="23" t="n">
        <x:f>E297-D297</x:f>
        <x:v>0</x:v>
      </x:c>
      <x:c r="G297" t="str">
        <x:f>IF(ABS(F297)&lt;0.000001,"OK","CHECK")</x:f>
        <x:v>OK</x:v>
      </x:c>
    </x:row>
    <x:row r="298">
      <x:c r="A298" t="n">
        <x:v>298</x:v>
      </x:c>
      <x:c r="B298" t="str">
        <x:f>'PlantInfo'!A298</x:f>
        <x:v>Small-Hydro</x:v>
      </x:c>
      <x:c r="C298" s="22" t="str">
        <x:f>'PlantInfo'!C298</x:f>
        <x:v>Maravakandy Small Hydro Project</x:v>
      </x:c>
      <x:c r="D298" s="23" t="n">
        <x:f>'PlantInfo'!G298</x:f>
        <x:v>0.75</x:v>
      </x:c>
      <x:c r="E298" s="23" t="n">
        <x:f>SUMIF('District Allocation'!$A$2:$A$508,A298,'District Allocation'!$K$2:$K$508)</x:f>
        <x:v>0.75</x:v>
      </x:c>
      <x:c r="F298" s="23" t="n">
        <x:f>E298-D298</x:f>
        <x:v>0</x:v>
      </x:c>
      <x:c r="G298" t="str">
        <x:f>IF(ABS(F298)&lt;0.000001,"OK","CHECK")</x:f>
        <x:v>OK</x:v>
      </x:c>
    </x:row>
    <x:row r="299">
      <x:c r="A299" t="n">
        <x:v>299</x:v>
      </x:c>
      <x:c r="B299" t="str">
        <x:f>'PlantInfo'!A299</x:f>
        <x:v>Small-Hydro</x:v>
      </x:c>
      <x:c r="C299" s="22" t="str">
        <x:f>'PlantInfo'!C299</x:f>
        <x:v>Mukurthy Small Hydro Project</x:v>
      </x:c>
      <x:c r="D299" s="23" t="n">
        <x:f>'PlantInfo'!G299</x:f>
        <x:v>0.35</x:v>
      </x:c>
      <x:c r="E299" s="23" t="n">
        <x:f>SUMIF('District Allocation'!$A$2:$A$508,A299,'District Allocation'!$K$2:$K$508)</x:f>
        <x:v>0.35</x:v>
      </x:c>
      <x:c r="F299" s="23" t="n">
        <x:f>E299-D299</x:f>
        <x:v>0</x:v>
      </x:c>
      <x:c r="G299" t="str">
        <x:f>IF(ABS(F299)&lt;0.000001,"OK","CHECK")</x:f>
        <x:v>OK</x:v>
      </x:c>
    </x:row>
    <x:row r="300">
      <x:c r="A300" t="n">
        <x:v>300</x:v>
      </x:c>
      <x:c r="B300" t="str">
        <x:f>'PlantInfo'!A300</x:f>
        <x:v>Small-Hydro</x:v>
      </x:c>
      <x:c r="C300" s="22" t="str">
        <x:f>'PlantInfo'!C300</x:f>
        <x:v>Mukurthy Small Hydro Project</x:v>
      </x:c>
      <x:c r="D300" s="23" t="n">
        <x:f>'PlantInfo'!G300</x:f>
        <x:v>0.35</x:v>
      </x:c>
      <x:c r="E300" s="23" t="n">
        <x:f>SUMIF('District Allocation'!$A$2:$A$508,A300,'District Allocation'!$K$2:$K$508)</x:f>
        <x:v>0.35</x:v>
      </x:c>
      <x:c r="F300" s="23" t="n">
        <x:f>E300-D300</x:f>
        <x:v>0</x:v>
      </x:c>
      <x:c r="G300" t="str">
        <x:f>IF(ABS(F300)&lt;0.000001,"OK","CHECK")</x:f>
        <x:v>OK</x:v>
      </x:c>
    </x:row>
    <x:row r="301">
      <x:c r="A301" t="n">
        <x:v>301</x:v>
      </x:c>
      <x:c r="B301" t="str">
        <x:f>'PlantInfo'!A301</x:f>
        <x:v>Small-Hydro</x:v>
      </x:c>
      <x:c r="C301" s="22" t="str">
        <x:f>'PlantInfo'!C301</x:f>
        <x:v>Periyar Vaigai Mini I Hydro Project</x:v>
      </x:c>
      <x:c r="D301" s="23" t="n">
        <x:f>'PlantInfo'!G301</x:f>
        <x:v>2</x:v>
      </x:c>
      <x:c r="E301" s="23" t="n">
        <x:f>SUMIF('District Allocation'!$A$2:$A$508,A301,'District Allocation'!$K$2:$K$508)</x:f>
        <x:v>2</x:v>
      </x:c>
      <x:c r="F301" s="23" t="n">
        <x:f>E301-D301</x:f>
        <x:v>0</x:v>
      </x:c>
      <x:c r="G301" t="str">
        <x:f>IF(ABS(F301)&lt;0.000001,"OK","CHECK")</x:f>
        <x:v>OK</x:v>
      </x:c>
    </x:row>
    <x:row r="302">
      <x:c r="A302" t="n">
        <x:v>302</x:v>
      </x:c>
      <x:c r="B302" t="str">
        <x:f>'PlantInfo'!A302</x:f>
        <x:v>Small-Hydro</x:v>
      </x:c>
      <x:c r="C302" s="22" t="str">
        <x:f>'PlantInfo'!C302</x:f>
        <x:v>Periyar Vaigai Mini I Hydro Project</x:v>
      </x:c>
      <x:c r="D302" s="23" t="n">
        <x:f>'PlantInfo'!G302</x:f>
        <x:v>2</x:v>
      </x:c>
      <x:c r="E302" s="23" t="n">
        <x:f>SUMIF('District Allocation'!$A$2:$A$508,A302,'District Allocation'!$K$2:$K$508)</x:f>
        <x:v>2</x:v>
      </x:c>
      <x:c r="F302" s="23" t="n">
        <x:f>E302-D302</x:f>
        <x:v>0</x:v>
      </x:c>
      <x:c r="G302" t="str">
        <x:f>IF(ABS(F302)&lt;0.000001,"OK","CHECK")</x:f>
        <x:v>OK</x:v>
      </x:c>
    </x:row>
    <x:row r="303">
      <x:c r="A303" t="n">
        <x:v>303</x:v>
      </x:c>
      <x:c r="B303" t="str">
        <x:f>'PlantInfo'!A303</x:f>
        <x:v>Small-Hydro</x:v>
      </x:c>
      <x:c r="C303" s="22" t="str">
        <x:f>'PlantInfo'!C303</x:f>
        <x:v>Periyar Vaigai Mini II Hydro Project</x:v>
      </x:c>
      <x:c r="D303" s="23" t="n">
        <x:f>'PlantInfo'!G303</x:f>
        <x:v>1.25</x:v>
      </x:c>
      <x:c r="E303" s="23" t="n">
        <x:f>SUMIF('District Allocation'!$A$2:$A$508,A303,'District Allocation'!$K$2:$K$508)</x:f>
        <x:v>1.25</x:v>
      </x:c>
      <x:c r="F303" s="23" t="n">
        <x:f>E303-D303</x:f>
        <x:v>0</x:v>
      </x:c>
      <x:c r="G303" t="str">
        <x:f>IF(ABS(F303)&lt;0.000001,"OK","CHECK")</x:f>
        <x:v>OK</x:v>
      </x:c>
    </x:row>
    <x:row r="304">
      <x:c r="A304" t="n">
        <x:v>304</x:v>
      </x:c>
      <x:c r="B304" t="str">
        <x:f>'PlantInfo'!A304</x:f>
        <x:v>Small-Hydro</x:v>
      </x:c>
      <x:c r="C304" s="22" t="str">
        <x:f>'PlantInfo'!C304</x:f>
        <x:v>Periyar Vaigai Mini II Hydro Project</x:v>
      </x:c>
      <x:c r="D304" s="23" t="n">
        <x:f>'PlantInfo'!G304</x:f>
        <x:v>1.25</x:v>
      </x:c>
      <x:c r="E304" s="23" t="n">
        <x:f>SUMIF('District Allocation'!$A$2:$A$508,A304,'District Allocation'!$K$2:$K$508)</x:f>
        <x:v>1.25</x:v>
      </x:c>
      <x:c r="F304" s="23" t="n">
        <x:f>E304-D304</x:f>
        <x:v>0</x:v>
      </x:c>
      <x:c r="G304" t="str">
        <x:f>IF(ABS(F304)&lt;0.000001,"OK","CHECK")</x:f>
        <x:v>OK</x:v>
      </x:c>
    </x:row>
    <x:row r="305">
      <x:c r="A305" t="n">
        <x:v>305</x:v>
      </x:c>
      <x:c r="B305" t="str">
        <x:f>'PlantInfo'!A305</x:f>
        <x:v>Small-Hydro</x:v>
      </x:c>
      <x:c r="C305" s="22" t="str">
        <x:f>'PlantInfo'!C305</x:f>
        <x:v>Periyar Vaigai Mini III Hydro Project</x:v>
      </x:c>
      <x:c r="D305" s="23" t="n">
        <x:f>'PlantInfo'!G305</x:f>
        <x:v>2</x:v>
      </x:c>
      <x:c r="E305" s="23" t="n">
        <x:f>SUMIF('District Allocation'!$A$2:$A$508,A305,'District Allocation'!$K$2:$K$508)</x:f>
        <x:v>2</x:v>
      </x:c>
      <x:c r="F305" s="23" t="n">
        <x:f>E305-D305</x:f>
        <x:v>0</x:v>
      </x:c>
      <x:c r="G305" t="str">
        <x:f>IF(ABS(F305)&lt;0.000001,"OK","CHECK")</x:f>
        <x:v>OK</x:v>
      </x:c>
    </x:row>
    <x:row r="306">
      <x:c r="A306" t="n">
        <x:v>306</x:v>
      </x:c>
      <x:c r="B306" t="str">
        <x:f>'PlantInfo'!A306</x:f>
        <x:v>Small-Hydro</x:v>
      </x:c>
      <x:c r="C306" s="22" t="str">
        <x:f>'PlantInfo'!C306</x:f>
        <x:v>Periyar Vaigai Mini III Hydro Project</x:v>
      </x:c>
      <x:c r="D306" s="23" t="n">
        <x:f>'PlantInfo'!G306</x:f>
        <x:v>2</x:v>
      </x:c>
      <x:c r="E306" s="23" t="n">
        <x:f>SUMIF('District Allocation'!$A$2:$A$508,A306,'District Allocation'!$K$2:$K$508)</x:f>
        <x:v>2</x:v>
      </x:c>
      <x:c r="F306" s="23" t="n">
        <x:f>E306-D306</x:f>
        <x:v>0</x:v>
      </x:c>
      <x:c r="G306" t="str">
        <x:f>IF(ABS(F306)&lt;0.000001,"OK","CHECK")</x:f>
        <x:v>OK</x:v>
      </x:c>
    </x:row>
    <x:row r="307">
      <x:c r="A307" t="n">
        <x:v>307</x:v>
      </x:c>
      <x:c r="B307" t="str">
        <x:f>'PlantInfo'!A307</x:f>
        <x:v>Small-Hydro</x:v>
      </x:c>
      <x:c r="C307" s="22" t="str">
        <x:f>'PlantInfo'!C307</x:f>
        <x:v>Periyar Vaigai Mini IV Hydro Project</x:v>
      </x:c>
      <x:c r="D307" s="23" t="n">
        <x:f>'PlantInfo'!G307</x:f>
        <x:v>1.25</x:v>
      </x:c>
      <x:c r="E307" s="23" t="n">
        <x:f>SUMIF('District Allocation'!$A$2:$A$508,A307,'District Allocation'!$K$2:$K$508)</x:f>
        <x:v>1.25</x:v>
      </x:c>
      <x:c r="F307" s="23" t="n">
        <x:f>E307-D307</x:f>
        <x:v>0</x:v>
      </x:c>
      <x:c r="G307" t="str">
        <x:f>IF(ABS(F307)&lt;0.000001,"OK","CHECK")</x:f>
        <x:v>OK</x:v>
      </x:c>
    </x:row>
    <x:row r="308">
      <x:c r="A308" t="n">
        <x:v>308</x:v>
      </x:c>
      <x:c r="B308" t="str">
        <x:f>'PlantInfo'!A308</x:f>
        <x:v>Small-Hydro</x:v>
      </x:c>
      <x:c r="C308" s="22" t="str">
        <x:f>'PlantInfo'!C308</x:f>
        <x:v>Periyar Vaigai Mini IV Hydro Project</x:v>
      </x:c>
      <x:c r="D308" s="23" t="n">
        <x:f>'PlantInfo'!G308</x:f>
        <x:v>1.25</x:v>
      </x:c>
      <x:c r="E308" s="23" t="n">
        <x:f>SUMIF('District Allocation'!$A$2:$A$508,A308,'District Allocation'!$K$2:$K$508)</x:f>
        <x:v>1.25</x:v>
      </x:c>
      <x:c r="F308" s="23" t="n">
        <x:f>E308-D308</x:f>
        <x:v>0</x:v>
      </x:c>
      <x:c r="G308" t="str">
        <x:f>IF(ABS(F308)&lt;0.000001,"OK","CHECK")</x:f>
        <x:v>OK</x:v>
      </x:c>
    </x:row>
    <x:row r="309">
      <x:c r="A309" t="n">
        <x:v>309</x:v>
      </x:c>
      <x:c r="B309" t="str">
        <x:f>'PlantInfo'!A309</x:f>
        <x:v>Small-Hydro</x:v>
      </x:c>
      <x:c r="C309" s="22" t="str">
        <x:f>'PlantInfo'!C309</x:f>
        <x:v>Perunchani Small Hydro Project</x:v>
      </x:c>
      <x:c r="D309" s="23" t="n">
        <x:f>'PlantInfo'!G309</x:f>
        <x:v>0.65</x:v>
      </x:c>
      <x:c r="E309" s="23" t="n">
        <x:f>SUMIF('District Allocation'!$A$2:$A$508,A309,'District Allocation'!$K$2:$K$508)</x:f>
        <x:v>0.65</x:v>
      </x:c>
      <x:c r="F309" s="23" t="n">
        <x:f>E309-D309</x:f>
        <x:v>0</x:v>
      </x:c>
      <x:c r="G309" t="str">
        <x:f>IF(ABS(F309)&lt;0.000001,"OK","CHECK")</x:f>
        <x:v>OK</x:v>
      </x:c>
    </x:row>
    <x:row r="310">
      <x:c r="A310" t="n">
        <x:v>310</x:v>
      </x:c>
      <x:c r="B310" t="str">
        <x:f>'PlantInfo'!A310</x:f>
        <x:v>Small-Hydro</x:v>
      </x:c>
      <x:c r="C310" s="22" t="str">
        <x:f>'PlantInfo'!C310</x:f>
        <x:v>Perunchani Small Hydro Project</x:v>
      </x:c>
      <x:c r="D310" s="23" t="n">
        <x:f>'PlantInfo'!G310</x:f>
        <x:v>0.65</x:v>
      </x:c>
      <x:c r="E310" s="23" t="n">
        <x:f>SUMIF('District Allocation'!$A$2:$A$508,A310,'District Allocation'!$K$2:$K$508)</x:f>
        <x:v>0.65</x:v>
      </x:c>
      <x:c r="F310" s="23" t="n">
        <x:f>E310-D310</x:f>
        <x:v>0</x:v>
      </x:c>
      <x:c r="G310" t="str">
        <x:f>IF(ABS(F310)&lt;0.000001,"OK","CHECK")</x:f>
        <x:v>OK</x:v>
      </x:c>
    </x:row>
    <x:row r="311">
      <x:c r="A311" t="n">
        <x:v>311</x:v>
      </x:c>
      <x:c r="B311" t="str">
        <x:f>'PlantInfo'!A311</x:f>
        <x:v>Small-Hydro</x:v>
      </x:c>
      <x:c r="C311" s="22" t="str">
        <x:f>'PlantInfo'!C311</x:f>
        <x:v>Punachi Small Hydro Project</x:v>
      </x:c>
      <x:c r="D311" s="23" t="n">
        <x:f>'PlantInfo'!G311</x:f>
        <x:v>1</x:v>
      </x:c>
      <x:c r="E311" s="23" t="n">
        <x:f>SUMIF('District Allocation'!$A$2:$A$508,A311,'District Allocation'!$K$2:$K$508)</x:f>
        <x:v>1</x:v>
      </x:c>
      <x:c r="F311" s="23" t="n">
        <x:f>E311-D311</x:f>
        <x:v>0</x:v>
      </x:c>
      <x:c r="G311" t="str">
        <x:f>IF(ABS(F311)&lt;0.000001,"OK","CHECK")</x:f>
        <x:v>OK</x:v>
      </x:c>
    </x:row>
    <x:row r="312">
      <x:c r="A312" t="n">
        <x:v>312</x:v>
      </x:c>
      <x:c r="B312" t="str">
        <x:f>'PlantInfo'!A312</x:f>
        <x:v>Small-Hydro</x:v>
      </x:c>
      <x:c r="C312" s="22" t="str">
        <x:f>'PlantInfo'!C312</x:f>
        <x:v>Punachi Small Hydro Project</x:v>
      </x:c>
      <x:c r="D312" s="23" t="n">
        <x:f>'PlantInfo'!G312</x:f>
        <x:v>1</x:v>
      </x:c>
      <x:c r="E312" s="23" t="n">
        <x:f>SUMIF('District Allocation'!$A$2:$A$508,A312,'District Allocation'!$K$2:$K$508)</x:f>
        <x:v>1</x:v>
      </x:c>
      <x:c r="F312" s="23" t="n">
        <x:f>E312-D312</x:f>
        <x:v>0</x:v>
      </x:c>
      <x:c r="G312" t="str">
        <x:f>IF(ABS(F312)&lt;0.000001,"OK","CHECK")</x:f>
        <x:v>OK</x:v>
      </x:c>
    </x:row>
    <x:row r="313">
      <x:c r="A313" t="n">
        <x:v>313</x:v>
      </x:c>
      <x:c r="B313" t="str">
        <x:f>'PlantInfo'!A313</x:f>
        <x:v>Small-Hydro</x:v>
      </x:c>
      <x:c r="C313" s="22" t="str">
        <x:f>'PlantInfo'!C313</x:f>
        <x:v>Pykara Micro Power House</x:v>
      </x:c>
      <x:c r="D313" s="23" t="n">
        <x:f>'PlantInfo'!G313</x:f>
        <x:v>2</x:v>
      </x:c>
      <x:c r="E313" s="23" t="n">
        <x:f>SUMIF('District Allocation'!$A$2:$A$508,A313,'District Allocation'!$K$2:$K$508)</x:f>
        <x:v>2</x:v>
      </x:c>
      <x:c r="F313" s="23" t="n">
        <x:f>E313-D313</x:f>
        <x:v>0</x:v>
      </x:c>
      <x:c r="G313" t="str">
        <x:f>IF(ABS(F313)&lt;0.000001,"OK","CHECK")</x:f>
        <x:v>OK</x:v>
      </x:c>
    </x:row>
    <x:row r="314">
      <x:c r="A314" t="n">
        <x:v>314</x:v>
      </x:c>
      <x:c r="B314" t="str">
        <x:f>'PlantInfo'!A314</x:f>
        <x:v>Small-Hydro</x:v>
      </x:c>
      <x:c r="C314" s="22" t="str">
        <x:f>'PlantInfo'!C314</x:f>
        <x:v>Sathanur Small Hydro Project</x:v>
      </x:c>
      <x:c r="D314" s="23" t="n">
        <x:f>'PlantInfo'!G314</x:f>
        <x:v>7.5</x:v>
      </x:c>
      <x:c r="E314" s="23" t="n">
        <x:f>SUMIF('District Allocation'!$A$2:$A$508,A314,'District Allocation'!$K$2:$K$508)</x:f>
        <x:v>7.5</x:v>
      </x:c>
      <x:c r="F314" s="23" t="n">
        <x:f>E314-D314</x:f>
        <x:v>0</x:v>
      </x:c>
      <x:c r="G314" t="str">
        <x:f>IF(ABS(F314)&lt;0.000001,"OK","CHECK")</x:f>
        <x:v>OK</x:v>
      </x:c>
    </x:row>
    <x:row r="315">
      <x:c r="A315" t="n">
        <x:v>315</x:v>
      </x:c>
      <x:c r="B315" t="str">
        <x:f>'PlantInfo'!A315</x:f>
        <x:v>Small-Hydro</x:v>
      </x:c>
      <x:c r="C315" s="22" t="str">
        <x:f>'PlantInfo'!C315</x:f>
        <x:v>Servalar Small Hydro Project</x:v>
      </x:c>
      <x:c r="D315" s="23" t="n">
        <x:f>'PlantInfo'!G315</x:f>
        <x:v>20</x:v>
      </x:c>
      <x:c r="E315" s="23" t="n">
        <x:f>SUMIF('District Allocation'!$A$2:$A$508,A315,'District Allocation'!$K$2:$K$508)</x:f>
        <x:v>20</x:v>
      </x:c>
      <x:c r="F315" s="23" t="n">
        <x:f>E315-D315</x:f>
        <x:v>0</x:v>
      </x:c>
      <x:c r="G315" t="str">
        <x:f>IF(ABS(F315)&lt;0.000001,"OK","CHECK")</x:f>
        <x:v>OK</x:v>
      </x:c>
    </x:row>
    <x:row r="316">
      <x:c r="A316" t="n">
        <x:v>316</x:v>
      </x:c>
      <x:c r="B316" t="str">
        <x:f>'PlantInfo'!A316</x:f>
        <x:v>Small-Hydro</x:v>
      </x:c>
      <x:c r="C316" s="22" t="str">
        <x:f>'PlantInfo'!C316</x:f>
        <x:v>Sholayar II Power House</x:v>
      </x:c>
      <x:c r="D316" s="23" t="n">
        <x:f>'PlantInfo'!G316</x:f>
        <x:v>25</x:v>
      </x:c>
      <x:c r="E316" s="23" t="n">
        <x:f>SUMIF('District Allocation'!$A$2:$A$508,A316,'District Allocation'!$K$2:$K$508)</x:f>
        <x:v>25</x:v>
      </x:c>
      <x:c r="F316" s="23" t="n">
        <x:f>E316-D316</x:f>
        <x:v>0</x:v>
      </x:c>
      <x:c r="G316" t="str">
        <x:f>IF(ABS(F316)&lt;0.000001,"OK","CHECK")</x:f>
        <x:v>OK</x:v>
      </x:c>
    </x:row>
    <x:row r="317">
      <x:c r="A317" t="n">
        <x:v>317</x:v>
      </x:c>
      <x:c r="B317" t="str">
        <x:f>'PlantInfo'!A317</x:f>
        <x:v>Small-Hydro</x:v>
      </x:c>
      <x:c r="C317" s="22" t="str">
        <x:f>'PlantInfo'!C317</x:f>
        <x:v>Tamil Nadu Small Hydro Project Bunched</x:v>
      </x:c>
      <x:c r="D317" s="23" t="n">
        <x:f>'PlantInfo'!G317</x:f>
        <x:v>0.35</x:v>
      </x:c>
      <x:c r="E317" s="23" t="n">
        <x:f>SUMIF('District Allocation'!$A$2:$A$508,A317,'District Allocation'!$K$2:$K$508)</x:f>
        <x:v>0.35</x:v>
      </x:c>
      <x:c r="F317" s="23" t="n">
        <x:f>E317-D317</x:f>
        <x:v>0</x:v>
      </x:c>
      <x:c r="G317" t="str">
        <x:f>IF(ABS(F317)&lt;0.000001,"OK","CHECK")</x:f>
        <x:v>OK</x:v>
      </x:c>
    </x:row>
    <x:row r="318">
      <x:c r="A318" t="n">
        <x:v>318</x:v>
      </x:c>
      <x:c r="B318" t="str">
        <x:f>'PlantInfo'!A318</x:f>
        <x:v>Small-Hydro</x:v>
      </x:c>
      <x:c r="C318" s="22" t="str">
        <x:f>'PlantInfo'!C318</x:f>
        <x:v>Thirumurthy Mini Hydel Project</x:v>
      </x:c>
      <x:c r="D318" s="23" t="n">
        <x:f>'PlantInfo'!G318</x:f>
        <x:v>0.65</x:v>
      </x:c>
      <x:c r="E318" s="23" t="n">
        <x:f>SUMIF('District Allocation'!$A$2:$A$508,A318,'District Allocation'!$K$2:$K$508)</x:f>
        <x:v>0.65</x:v>
      </x:c>
      <x:c r="F318" s="23" t="n">
        <x:f>E318-D318</x:f>
        <x:v>0</x:v>
      </x:c>
      <x:c r="G318" t="str">
        <x:f>IF(ABS(F318)&lt;0.000001,"OK","CHECK")</x:f>
        <x:v>OK</x:v>
      </x:c>
    </x:row>
    <x:row r="319">
      <x:c r="A319" t="n">
        <x:v>319</x:v>
      </x:c>
      <x:c r="B319" t="str">
        <x:f>'PlantInfo'!A319</x:f>
        <x:v>Small-Hydro</x:v>
      </x:c>
      <x:c r="C319" s="22" t="str">
        <x:f>'PlantInfo'!C319</x:f>
        <x:v>Thirumurthy Mini Hydel Project</x:v>
      </x:c>
      <x:c r="D319" s="23" t="n">
        <x:f>'PlantInfo'!G319</x:f>
        <x:v>0.65</x:v>
      </x:c>
      <x:c r="E319" s="23" t="n">
        <x:f>SUMIF('District Allocation'!$A$2:$A$508,A319,'District Allocation'!$K$2:$K$508)</x:f>
        <x:v>0.65</x:v>
      </x:c>
      <x:c r="F319" s="23" t="n">
        <x:f>E319-D319</x:f>
        <x:v>0</x:v>
      </x:c>
      <x:c r="G319" t="str">
        <x:f>IF(ABS(F319)&lt;0.000001,"OK","CHECK")</x:f>
        <x:v>OK</x:v>
      </x:c>
    </x:row>
    <x:row r="320">
      <x:c r="A320" t="n">
        <x:v>320</x:v>
      </x:c>
      <x:c r="B320" t="str">
        <x:f>'PlantInfo'!A320</x:f>
        <x:v>Small-Hydro</x:v>
      </x:c>
      <x:c r="C320" s="22" t="str">
        <x:f>'PlantInfo'!C320</x:f>
        <x:v>Thirumurthy Mini Hydel Project</x:v>
      </x:c>
      <x:c r="D320" s="23" t="n">
        <x:f>'PlantInfo'!G320</x:f>
        <x:v>0.65</x:v>
      </x:c>
      <x:c r="E320" s="23" t="n">
        <x:f>SUMIF('District Allocation'!$A$2:$A$508,A320,'District Allocation'!$K$2:$K$508)</x:f>
        <x:v>0.65</x:v>
      </x:c>
      <x:c r="F320" s="23" t="n">
        <x:f>E320-D320</x:f>
        <x:v>0</x:v>
      </x:c>
      <x:c r="G320" t="str">
        <x:f>IF(ABS(F320)&lt;0.000001,"OK","CHECK")</x:f>
        <x:v>OK</x:v>
      </x:c>
    </x:row>
    <x:row r="321">
      <x:c r="A321" t="n">
        <x:v>321</x:v>
      </x:c>
      <x:c r="B321" t="str">
        <x:f>'PlantInfo'!A321</x:f>
        <x:v>Small-Hydro</x:v>
      </x:c>
      <x:c r="C321" s="22" t="str">
        <x:f>'PlantInfo'!C321</x:f>
        <x:v>Vaigai Hydro Power Project</x:v>
      </x:c>
      <x:c r="D321" s="23" t="n">
        <x:f>'PlantInfo'!G321</x:f>
        <x:v>3</x:v>
      </x:c>
      <x:c r="E321" s="23" t="n">
        <x:f>SUMIF('District Allocation'!$A$2:$A$508,A321,'District Allocation'!$K$2:$K$508)</x:f>
        <x:v>3</x:v>
      </x:c>
      <x:c r="F321" s="23" t="n">
        <x:f>E321-D321</x:f>
        <x:v>0</x:v>
      </x:c>
      <x:c r="G321" t="str">
        <x:f>IF(ABS(F321)&lt;0.000001,"OK","CHECK")</x:f>
        <x:v>OK</x:v>
      </x:c>
    </x:row>
    <x:row r="322">
      <x:c r="A322" t="n">
        <x:v>322</x:v>
      </x:c>
      <x:c r="B322" t="str">
        <x:f>'PlantInfo'!A322</x:f>
        <x:v>Small-Hydro</x:v>
      </x:c>
      <x:c r="C322" s="22" t="str">
        <x:f>'PlantInfo'!C322</x:f>
        <x:v>Vaigai Hydro Power Project</x:v>
      </x:c>
      <x:c r="D322" s="23" t="n">
        <x:f>'PlantInfo'!G322</x:f>
        <x:v>3</x:v>
      </x:c>
      <x:c r="E322" s="23" t="n">
        <x:f>SUMIF('District Allocation'!$A$2:$A$508,A322,'District Allocation'!$K$2:$K$508)</x:f>
        <x:v>3</x:v>
      </x:c>
      <x:c r="F322" s="23" t="n">
        <x:f>E322-D322</x:f>
        <x:v>0</x:v>
      </x:c>
      <x:c r="G322" t="str">
        <x:f>IF(ABS(F322)&lt;0.000001,"OK","CHECK")</x:f>
        <x:v>OK</x:v>
      </x:c>
    </x:row>
  </x:sheetData>
  <x:conditionalFormatting sqref="G2:G322">
    <x:cfRule type="containsText" dxfId="3" priority="1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38c0c334f1e242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25" t="str">
        <x:v>Tamil Nadu District Allocation – Methodology and Sources</x:v>
      </x:c>
      <x:c r="B1" s="25"/>
      <x:c r="C1" s="25"/>
      <x:c r="D1" s="25"/>
      <x:c r="E1" s="25"/>
      <x:c r="F1" s="25"/>
    </x:row>
    <x:row r="3">
      <x:c r="A3" s="27" t="str">
        <x:v>Quality control</x:v>
      </x:c>
      <x:c r="B3" s="27" t="str">
        <x:v>Value</x:v>
      </x:c>
    </x:row>
    <x:row r="4">
      <x:c r="A4" t="str">
        <x:v>Original rows</x:v>
      </x:c>
      <x:c r="B4" t="n">
        <x:f>COUNTA('PlantInfo'!A2:A322)</x:f>
        <x:v>321</x:v>
      </x:c>
    </x:row>
    <x:row r="5">
      <x:c r="A5" t="str">
        <x:v>Allocated rows</x:v>
      </x:c>
      <x:c r="B5" t="n">
        <x:f>COUNTA('District Allocation'!A2:A508)</x:f>
        <x:v>507</x:v>
      </x:c>
    </x:row>
    <x:row r="6">
      <x:c r="A6" t="str">
        <x:v>Original total capacity (MW)</x:v>
      </x:c>
      <x:c r="B6" s="23" t="n">
        <x:f>SUM('PlantInfo'!G2:G322)</x:f>
        <x:v>58463.21050000003</x:v>
      </x:c>
    </x:row>
    <x:row r="7">
      <x:c r="A7" t="str">
        <x:v>Allocated total capacity (MW)</x:v>
      </x:c>
      <x:c r="B7" s="23" t="n">
        <x:f>SUM('District Allocation'!K2:K508)</x:f>
        <x:v>58463.21050000005</x:v>
      </x:c>
    </x:row>
    <x:row r="8">
      <x:c r="A8" t="str">
        <x:v>Difference (MW)</x:v>
      </x:c>
      <x:c r="B8" s="23" t="n">
        <x:f>B7-B6</x:f>
        <x:v>2.1827872842550278e-11</x:v>
      </x:c>
    </x:row>
    <x:row r="9">
      <x:c r="A9" t="str">
        <x:v>Rows failing reconciliation</x:v>
      </x:c>
      <x:c r="B9" t="n">
        <x:f>COUNTIF('Allocation QC'!G2:G322,"CHECK")</x:f>
        <x:v>0</x:v>
      </x:c>
    </x:row>
    <x:row r="11">
      <x:c r="A11" s="27" t="str">
        <x:v>Allocation rules</x:v>
      </x:c>
      <x:c r="B11" s="27"/>
      <x:c r="C11" s="27"/>
      <x:c r="D11" s="27"/>
      <x:c r="E11" s="27"/>
      <x:c r="F11" s="27"/>
    </x:row>
    <x:row r="12" ht="36" customHeight="1">
      <x:c r="A12" s="28" t="str">
        <x:v>1. Rows already containing one district are carried over unchanged (district spelling is standardized only in the allocation output).</x:v>
      </x:c>
      <x:c r="B12" s="28"/>
      <x:c r="C12" s="28"/>
      <x:c r="D12" s="28"/>
      <x:c r="E12" s="28"/>
      <x:c r="F12" s="28"/>
    </x:row>
    <x:row r="13" ht="36" customHeight="1">
      <x:c r="A13" s="28" t="str">
        <x:v>2. IOT Mabagas and Saastha Energy are assigned from the CEA plant-wise report: Namakkal and Vellore, respectively.</x:v>
      </x:c>
      <x:c r="B13" s="28"/>
      <x:c r="C13" s="28"/>
      <x:c r="D13" s="28"/>
      <x:c r="E13" s="28"/>
      <x:c r="F13" s="28"/>
    </x:row>
    <x:row r="14" ht="36" customHeight="1">
      <x:c r="A14" s="28" t="str">
        <x:v>3. The generic 0.35 MW small-hydro row is provisionally matched to the 350 kW Tuklapatti canal-drop project in Madurai.</x:v>
      </x:c>
      <x:c r="B14" s="28"/>
      <x:c r="C14" s="28"/>
      <x:c r="D14" s="28"/>
      <x:c r="E14" s="28"/>
      <x:c r="F14" s="28"/>
    </x:row>
    <x:row r="15" ht="36" customHeight="1">
      <x:c r="A15" s="28" t="str">
        <x:v>4. Rows naming two or four districts are split equally because the original workbook gives no district-specific shares.</x:v>
      </x:c>
      <x:c r="B15" s="28"/>
      <x:c r="C15" s="28"/>
      <x:c r="D15" s="28"/>
      <x:c r="E15" s="28"/>
      <x:c r="F15" s="28"/>
    </x:row>
    <x:row r="16" ht="36" customHeight="1">
      <x:c r="A16" s="28" t="str">
        <x:v>5. Statewide/residual wind, solar, and bio-power rows are split proportionally using the known district capacity distribution for the same source within PlantInfo. These rows are flagged Low confidence.</x:v>
      </x:c>
      <x:c r="B16" s="28"/>
      <x:c r="C16" s="28"/>
      <x:c r="D16" s="28"/>
      <x:c r="E16" s="28"/>
      <x:c r="F16" s="28"/>
    </x:row>
    <x:row r="18">
      <x:c r="A18" s="27" t="str">
        <x:v>Online sources</x:v>
      </x:c>
      <x:c r="B18" s="27"/>
      <x:c r="C18" s="27"/>
      <x:c r="D18" s="27"/>
      <x:c r="E18" s="27"/>
      <x:c r="F18" s="27"/>
    </x:row>
    <x:row r="19">
      <x:c r="A19" s="29" t="str">
        <x:v>CEA plant-wise renewable energy report</x:v>
      </x:c>
      <x:c r="B19" s="22" t="str">
        <x:v>https://cea.nic.in/wp-content/uploads/resd/2023/09/August_Plantwise_Details_2022.pdf</x:v>
      </x:c>
    </x:row>
    <x:row r="20">
      <x:c r="A20" s="29" t="str">
        <x:v>MNRE physical progress and technology categories</x:v>
      </x:c>
      <x:c r="B20" s="22" t="str">
        <x:v>https://mnre.gov.in/en/physical-progress/</x:v>
      </x:c>
    </x:row>
    <x:row r="21">
      <x:c r="A21" s="29" t="str">
        <x:v>India Climate &amp; Energy Dashboard – wind capacity</x:v>
      </x:c>
      <x:c r="B21" s="22" t="str">
        <x:v>https://iced.niti.gov.in/energy/electricity/generation/pipeline-capacity/wind</x:v>
      </x:c>
    </x:row>
    <x:row r="22">
      <x:c r="A22" s="29" t="str">
        <x:v>Small-hydro project reference</x:v>
      </x:c>
      <x:c r="B22" s="22" t="str">
        <x:v>https://www.nsenergybusiness.com/news/newstamil-nadu-to-consider-small-hydro-in-india/</x:v>
      </x:c>
    </x:row>
  </x:sheetData>
  <x:mergeCells>
    <x:mergeCell ref="A1:F1"/>
    <x:mergeCell ref="A11:F11"/>
    <x:mergeCell ref="A12:F12"/>
    <x:mergeCell ref="A13:F13"/>
    <x:mergeCell ref="A14:F14"/>
    <x:mergeCell ref="A15:F15"/>
    <x:mergeCell ref="A16:F16"/>
    <x:mergeCell ref="A18:F18"/>
  </x:mergeCells>
  <x:pageMargins left="0.7" right="0.7" top="0.75" bottom="0.75" header="0.3" footer="0.3"/>
</x:worksheet>
</file>